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" sheetId="1" state="visible" r:id="rId1"/>
    <sheet name="KIS_API_입력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49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0" customWidth="1" min="12" max="12"/>
    <col width="14" customWidth="1" min="13" max="13"/>
  </cols>
  <sheetData>
    <row r="1">
      <c r="A1" s="1" t="inlineStr">
        <is>
          <t>설정</t>
        </is>
      </c>
      <c r="B1" s="1" t="inlineStr">
        <is>
          <t>값</t>
        </is>
      </c>
      <c r="C1" s="1" t="inlineStr">
        <is>
          <t>설정</t>
        </is>
      </c>
      <c r="D1" s="1" t="inlineStr">
        <is>
          <t>값</t>
        </is>
      </c>
      <c r="E1" s="1" t="inlineStr">
        <is>
          <t>설정</t>
        </is>
      </c>
      <c r="F1" s="1" t="inlineStr">
        <is>
          <t>값</t>
        </is>
      </c>
      <c r="G1" s="1" t="inlineStr">
        <is>
          <t>설정</t>
        </is>
      </c>
      <c r="H1" s="1" t="inlineStr">
        <is>
          <t>값</t>
        </is>
      </c>
    </row>
    <row r="2">
      <c r="A2" t="inlineStr">
        <is>
          <t>매수수수료율</t>
        </is>
      </c>
      <c r="B2" t="n">
        <v>0.00015</v>
      </c>
      <c r="C2" t="inlineStr">
        <is>
          <t>매도수수료율</t>
        </is>
      </c>
      <c r="D2" t="n">
        <v>0.00015</v>
      </c>
      <c r="E2" t="inlineStr">
        <is>
          <t>매도세율</t>
        </is>
      </c>
      <c r="F2" t="n">
        <v>0.0018</v>
      </c>
      <c r="G2" t="inlineStr">
        <is>
          <t>편도정액수수료</t>
        </is>
      </c>
      <c r="H2" t="n">
        <v>0</v>
      </c>
    </row>
    <row r="4">
      <c r="A4" s="2" t="inlineStr">
        <is>
          <t>종목코드(6자리)</t>
        </is>
      </c>
      <c r="B4" s="2" t="inlineStr">
        <is>
          <t>수량</t>
        </is>
      </c>
      <c r="C4" s="2" t="inlineStr">
        <is>
          <t>매수가</t>
        </is>
      </c>
      <c r="D4" s="2" t="inlineStr">
        <is>
          <t>매도가</t>
        </is>
      </c>
      <c r="E4" s="2" t="inlineStr">
        <is>
          <t>매수금액</t>
        </is>
      </c>
      <c r="F4" s="2" t="inlineStr">
        <is>
          <t>매도금액</t>
        </is>
      </c>
      <c r="G4" s="2" t="inlineStr">
        <is>
          <t>매수수수료</t>
        </is>
      </c>
      <c r="H4" s="2" t="inlineStr">
        <is>
          <t>매도수수료</t>
        </is>
      </c>
      <c r="I4" s="2" t="inlineStr">
        <is>
          <t>매도세금</t>
        </is>
      </c>
      <c r="J4" s="2" t="inlineStr">
        <is>
          <t>총비용</t>
        </is>
      </c>
      <c r="K4" s="2" t="inlineStr">
        <is>
          <t>실현손익</t>
        </is>
      </c>
      <c r="L4" s="2" t="inlineStr">
        <is>
          <t>손익률</t>
        </is>
      </c>
      <c r="M4" s="2" t="inlineStr">
        <is>
          <t>손익분기매도가</t>
        </is>
      </c>
    </row>
    <row r="5">
      <c r="A5" s="3" t="inlineStr">
        <is>
          <t>005930</t>
        </is>
      </c>
      <c r="B5" t="n">
        <v>10</v>
      </c>
      <c r="C5" s="4" t="n">
        <v>70000</v>
      </c>
      <c r="D5" s="4" t="n">
        <v>71000</v>
      </c>
      <c r="E5" s="4">
        <f>IF(B5="","",B5*C5)</f>
        <v/>
      </c>
      <c r="F5" s="4">
        <f>IF(B5="","",B5*D5)</f>
        <v/>
      </c>
      <c r="G5" s="4">
        <f>IF(E5="","",ROUNDDOWN(E5*$B$2+$H$2,0))</f>
        <v/>
      </c>
      <c r="H5" s="4">
        <f>IF(F5="","",ROUNDDOWN(F5*$D$2+$H$2,0))</f>
        <v/>
      </c>
      <c r="I5" s="4">
        <f>IF(F5="","",ROUNDDOWN(F5*$F$2,0))</f>
        <v/>
      </c>
      <c r="J5" s="4">
        <f>IF(G5="","",G5+H5+I5)</f>
        <v/>
      </c>
      <c r="K5" s="4">
        <f>IF(J5="","",F5-E5-J5)</f>
        <v/>
      </c>
      <c r="L5" s="5">
        <f>IF(E5="","",K5/E5)</f>
        <v/>
      </c>
      <c r="M5" s="4">
        <f>IF(B5="","",((B5*C5)*(1+$B$2)+2*$H$2)/(B5*(1-$D$2-$F$2)))</f>
        <v/>
      </c>
    </row>
    <row r="6">
      <c r="A6" s="3" t="n"/>
      <c r="C6" s="4" t="n"/>
      <c r="D6" s="4" t="n"/>
      <c r="E6" s="4">
        <f>IF(B6="","",B6*C6)</f>
        <v/>
      </c>
      <c r="F6" s="4">
        <f>IF(B6="","",B6*D6)</f>
        <v/>
      </c>
      <c r="G6" s="4">
        <f>IF(E6="","",ROUNDDOWN(E6*$B$2+$H$2,0))</f>
        <v/>
      </c>
      <c r="H6" s="4">
        <f>IF(F6="","",ROUNDDOWN(F6*$D$2+$H$2,0))</f>
        <v/>
      </c>
      <c r="I6" s="4">
        <f>IF(F6="","",ROUNDDOWN(F6*$F$2,0))</f>
        <v/>
      </c>
      <c r="J6" s="4">
        <f>IF(G6="","",G6+H6+I6)</f>
        <v/>
      </c>
      <c r="K6" s="4">
        <f>IF(J6="","",F6-E6-J6)</f>
        <v/>
      </c>
      <c r="L6" s="5">
        <f>IF(E6="","",K6/E6)</f>
        <v/>
      </c>
      <c r="M6" s="4">
        <f>IF(B6="","",((B6*C6)*(1+$B$2)+2*$H$2)/(B6*(1-$D$2-$F$2)))</f>
        <v/>
      </c>
    </row>
    <row r="7">
      <c r="A7" s="3" t="n"/>
      <c r="C7" s="4" t="n"/>
      <c r="D7" s="4" t="n"/>
      <c r="E7" s="4">
        <f>IF(B7="","",B7*C7)</f>
        <v/>
      </c>
      <c r="F7" s="4">
        <f>IF(B7="","",B7*D7)</f>
        <v/>
      </c>
      <c r="G7" s="4">
        <f>IF(E7="","",ROUNDDOWN(E7*$B$2+$H$2,0))</f>
        <v/>
      </c>
      <c r="H7" s="4">
        <f>IF(F7="","",ROUNDDOWN(F7*$D$2+$H$2,0))</f>
        <v/>
      </c>
      <c r="I7" s="4">
        <f>IF(F7="","",ROUNDDOWN(F7*$F$2,0))</f>
        <v/>
      </c>
      <c r="J7" s="4">
        <f>IF(G7="","",G7+H7+I7)</f>
        <v/>
      </c>
      <c r="K7" s="4">
        <f>IF(J7="","",F7-E7-J7)</f>
        <v/>
      </c>
      <c r="L7" s="5">
        <f>IF(E7="","",K7/E7)</f>
        <v/>
      </c>
      <c r="M7" s="4">
        <f>IF(B7="","",((B7*C7)*(1+$B$2)+2*$H$2)/(B7*(1-$D$2-$F$2)))</f>
        <v/>
      </c>
    </row>
    <row r="8">
      <c r="A8" s="3" t="n"/>
      <c r="C8" s="4" t="n"/>
      <c r="D8" s="4" t="n"/>
      <c r="E8" s="4">
        <f>IF(B8="","",B8*C8)</f>
        <v/>
      </c>
      <c r="F8" s="4">
        <f>IF(B8="","",B8*D8)</f>
        <v/>
      </c>
      <c r="G8" s="4">
        <f>IF(E8="","",ROUNDDOWN(E8*$B$2+$H$2,0))</f>
        <v/>
      </c>
      <c r="H8" s="4">
        <f>IF(F8="","",ROUNDDOWN(F8*$D$2+$H$2,0))</f>
        <v/>
      </c>
      <c r="I8" s="4">
        <f>IF(F8="","",ROUNDDOWN(F8*$F$2,0))</f>
        <v/>
      </c>
      <c r="J8" s="4">
        <f>IF(G8="","",G8+H8+I8)</f>
        <v/>
      </c>
      <c r="K8" s="4">
        <f>IF(J8="","",F8-E8-J8)</f>
        <v/>
      </c>
      <c r="L8" s="5">
        <f>IF(E8="","",K8/E8)</f>
        <v/>
      </c>
      <c r="M8" s="4">
        <f>IF(B8="","",((B8*C8)*(1+$B$2)+2*$H$2)/(B8*(1-$D$2-$F$2)))</f>
        <v/>
      </c>
    </row>
    <row r="9">
      <c r="A9" s="3" t="n"/>
      <c r="C9" s="4" t="n"/>
      <c r="D9" s="4" t="n"/>
      <c r="E9" s="4">
        <f>IF(B9="","",B9*C9)</f>
        <v/>
      </c>
      <c r="F9" s="4">
        <f>IF(B9="","",B9*D9)</f>
        <v/>
      </c>
      <c r="G9" s="4">
        <f>IF(E9="","",ROUNDDOWN(E9*$B$2+$H$2,0))</f>
        <v/>
      </c>
      <c r="H9" s="4">
        <f>IF(F9="","",ROUNDDOWN(F9*$D$2+$H$2,0))</f>
        <v/>
      </c>
      <c r="I9" s="4">
        <f>IF(F9="","",ROUNDDOWN(F9*$F$2,0))</f>
        <v/>
      </c>
      <c r="J9" s="4">
        <f>IF(G9="","",G9+H9+I9)</f>
        <v/>
      </c>
      <c r="K9" s="4">
        <f>IF(J9="","",F9-E9-J9)</f>
        <v/>
      </c>
      <c r="L9" s="5">
        <f>IF(E9="","",K9/E9)</f>
        <v/>
      </c>
      <c r="M9" s="4">
        <f>IF(B9="","",((B9*C9)*(1+$B$2)+2*$H$2)/(B9*(1-$D$2-$F$2)))</f>
        <v/>
      </c>
    </row>
    <row r="10">
      <c r="A10" s="3" t="n"/>
      <c r="C10" s="4" t="n"/>
      <c r="D10" s="4" t="n"/>
      <c r="E10" s="4">
        <f>IF(B10="","",B10*C10)</f>
        <v/>
      </c>
      <c r="F10" s="4">
        <f>IF(B10="","",B10*D10)</f>
        <v/>
      </c>
      <c r="G10" s="4">
        <f>IF(E10="","",ROUNDDOWN(E10*$B$2+$H$2,0))</f>
        <v/>
      </c>
      <c r="H10" s="4">
        <f>IF(F10="","",ROUNDDOWN(F10*$D$2+$H$2,0))</f>
        <v/>
      </c>
      <c r="I10" s="4">
        <f>IF(F10="","",ROUNDDOWN(F10*$F$2,0))</f>
        <v/>
      </c>
      <c r="J10" s="4">
        <f>IF(G10="","",G10+H10+I10)</f>
        <v/>
      </c>
      <c r="K10" s="4">
        <f>IF(J10="","",F10-E10-J10)</f>
        <v/>
      </c>
      <c r="L10" s="5">
        <f>IF(E10="","",K10/E10)</f>
        <v/>
      </c>
      <c r="M10" s="4">
        <f>IF(B10="","",((B10*C10)*(1+$B$2)+2*$H$2)/(B10*(1-$D$2-$F$2)))</f>
        <v/>
      </c>
    </row>
    <row r="11">
      <c r="A11" s="3" t="n"/>
      <c r="C11" s="4" t="n"/>
      <c r="D11" s="4" t="n"/>
      <c r="E11" s="4">
        <f>IF(B11="","",B11*C11)</f>
        <v/>
      </c>
      <c r="F11" s="4">
        <f>IF(B11="","",B11*D11)</f>
        <v/>
      </c>
      <c r="G11" s="4">
        <f>IF(E11="","",ROUNDDOWN(E11*$B$2+$H$2,0))</f>
        <v/>
      </c>
      <c r="H11" s="4">
        <f>IF(F11="","",ROUNDDOWN(F11*$D$2+$H$2,0))</f>
        <v/>
      </c>
      <c r="I11" s="4">
        <f>IF(F11="","",ROUNDDOWN(F11*$F$2,0))</f>
        <v/>
      </c>
      <c r="J11" s="4">
        <f>IF(G11="","",G11+H11+I11)</f>
        <v/>
      </c>
      <c r="K11" s="4">
        <f>IF(J11="","",F11-E11-J11)</f>
        <v/>
      </c>
      <c r="L11" s="5">
        <f>IF(E11="","",K11/E11)</f>
        <v/>
      </c>
      <c r="M11" s="4">
        <f>IF(B11="","",((B11*C11)*(1+$B$2)+2*$H$2)/(B11*(1-$D$2-$F$2)))</f>
        <v/>
      </c>
    </row>
    <row r="12">
      <c r="A12" s="3" t="n"/>
      <c r="C12" s="4" t="n"/>
      <c r="D12" s="4" t="n"/>
      <c r="E12" s="4">
        <f>IF(B12="","",B12*C12)</f>
        <v/>
      </c>
      <c r="F12" s="4">
        <f>IF(B12="","",B12*D12)</f>
        <v/>
      </c>
      <c r="G12" s="4">
        <f>IF(E12="","",ROUNDDOWN(E12*$B$2+$H$2,0))</f>
        <v/>
      </c>
      <c r="H12" s="4">
        <f>IF(F12="","",ROUNDDOWN(F12*$D$2+$H$2,0))</f>
        <v/>
      </c>
      <c r="I12" s="4">
        <f>IF(F12="","",ROUNDDOWN(F12*$F$2,0))</f>
        <v/>
      </c>
      <c r="J12" s="4">
        <f>IF(G12="","",G12+H12+I12)</f>
        <v/>
      </c>
      <c r="K12" s="4">
        <f>IF(J12="","",F12-E12-J12)</f>
        <v/>
      </c>
      <c r="L12" s="5">
        <f>IF(E12="","",K12/E12)</f>
        <v/>
      </c>
      <c r="M12" s="4">
        <f>IF(B12="","",((B12*C12)*(1+$B$2)+2*$H$2)/(B12*(1-$D$2-$F$2)))</f>
        <v/>
      </c>
    </row>
    <row r="13">
      <c r="A13" s="3" t="n"/>
      <c r="C13" s="4" t="n"/>
      <c r="D13" s="4" t="n"/>
      <c r="E13" s="4">
        <f>IF(B13="","",B13*C13)</f>
        <v/>
      </c>
      <c r="F13" s="4">
        <f>IF(B13="","",B13*D13)</f>
        <v/>
      </c>
      <c r="G13" s="4">
        <f>IF(E13="","",ROUNDDOWN(E13*$B$2+$H$2,0))</f>
        <v/>
      </c>
      <c r="H13" s="4">
        <f>IF(F13="","",ROUNDDOWN(F13*$D$2+$H$2,0))</f>
        <v/>
      </c>
      <c r="I13" s="4">
        <f>IF(F13="","",ROUNDDOWN(F13*$F$2,0))</f>
        <v/>
      </c>
      <c r="J13" s="4">
        <f>IF(G13="","",G13+H13+I13)</f>
        <v/>
      </c>
      <c r="K13" s="4">
        <f>IF(J13="","",F13-E13-J13)</f>
        <v/>
      </c>
      <c r="L13" s="5">
        <f>IF(E13="","",K13/E13)</f>
        <v/>
      </c>
      <c r="M13" s="4">
        <f>IF(B13="","",((B13*C13)*(1+$B$2)+2*$H$2)/(B13*(1-$D$2-$F$2)))</f>
        <v/>
      </c>
    </row>
    <row r="14">
      <c r="A14" s="3" t="n"/>
      <c r="C14" s="4" t="n"/>
      <c r="D14" s="4" t="n"/>
      <c r="E14" s="4">
        <f>IF(B14="","",B14*C14)</f>
        <v/>
      </c>
      <c r="F14" s="4">
        <f>IF(B14="","",B14*D14)</f>
        <v/>
      </c>
      <c r="G14" s="4">
        <f>IF(E14="","",ROUNDDOWN(E14*$B$2+$H$2,0))</f>
        <v/>
      </c>
      <c r="H14" s="4">
        <f>IF(F14="","",ROUNDDOWN(F14*$D$2+$H$2,0))</f>
        <v/>
      </c>
      <c r="I14" s="4">
        <f>IF(F14="","",ROUNDDOWN(F14*$F$2,0))</f>
        <v/>
      </c>
      <c r="J14" s="4">
        <f>IF(G14="","",G14+H14+I14)</f>
        <v/>
      </c>
      <c r="K14" s="4">
        <f>IF(J14="","",F14-E14-J14)</f>
        <v/>
      </c>
      <c r="L14" s="5">
        <f>IF(E14="","",K14/E14)</f>
        <v/>
      </c>
      <c r="M14" s="4">
        <f>IF(B14="","",((B14*C14)*(1+$B$2)+2*$H$2)/(B14*(1-$D$2-$F$2)))</f>
        <v/>
      </c>
    </row>
    <row r="15">
      <c r="A15" s="3" t="n"/>
      <c r="C15" s="4" t="n"/>
      <c r="D15" s="4" t="n"/>
      <c r="E15" s="4">
        <f>IF(B15="","",B15*C15)</f>
        <v/>
      </c>
      <c r="F15" s="4">
        <f>IF(B15="","",B15*D15)</f>
        <v/>
      </c>
      <c r="G15" s="4">
        <f>IF(E15="","",ROUNDDOWN(E15*$B$2+$H$2,0))</f>
        <v/>
      </c>
      <c r="H15" s="4">
        <f>IF(F15="","",ROUNDDOWN(F15*$D$2+$H$2,0))</f>
        <v/>
      </c>
      <c r="I15" s="4">
        <f>IF(F15="","",ROUNDDOWN(F15*$F$2,0))</f>
        <v/>
      </c>
      <c r="J15" s="4">
        <f>IF(G15="","",G15+H15+I15)</f>
        <v/>
      </c>
      <c r="K15" s="4">
        <f>IF(J15="","",F15-E15-J15)</f>
        <v/>
      </c>
      <c r="L15" s="5">
        <f>IF(E15="","",K15/E15)</f>
        <v/>
      </c>
      <c r="M15" s="4">
        <f>IF(B15="","",((B15*C15)*(1+$B$2)+2*$H$2)/(B15*(1-$D$2-$F$2)))</f>
        <v/>
      </c>
    </row>
    <row r="16">
      <c r="A16" s="3" t="n"/>
      <c r="C16" s="4" t="n"/>
      <c r="D16" s="4" t="n"/>
      <c r="E16" s="4">
        <f>IF(B16="","",B16*C16)</f>
        <v/>
      </c>
      <c r="F16" s="4">
        <f>IF(B16="","",B16*D16)</f>
        <v/>
      </c>
      <c r="G16" s="4">
        <f>IF(E16="","",ROUNDDOWN(E16*$B$2+$H$2,0))</f>
        <v/>
      </c>
      <c r="H16" s="4">
        <f>IF(F16="","",ROUNDDOWN(F16*$D$2+$H$2,0))</f>
        <v/>
      </c>
      <c r="I16" s="4">
        <f>IF(F16="","",ROUNDDOWN(F16*$F$2,0))</f>
        <v/>
      </c>
      <c r="J16" s="4">
        <f>IF(G16="","",G16+H16+I16)</f>
        <v/>
      </c>
      <c r="K16" s="4">
        <f>IF(J16="","",F16-E16-J16)</f>
        <v/>
      </c>
      <c r="L16" s="5">
        <f>IF(E16="","",K16/E16)</f>
        <v/>
      </c>
      <c r="M16" s="4">
        <f>IF(B16="","",((B16*C16)*(1+$B$2)+2*$H$2)/(B16*(1-$D$2-$F$2)))</f>
        <v/>
      </c>
    </row>
    <row r="17">
      <c r="A17" s="3" t="n"/>
      <c r="C17" s="4" t="n"/>
      <c r="D17" s="4" t="n"/>
      <c r="E17" s="4">
        <f>IF(B17="","",B17*C17)</f>
        <v/>
      </c>
      <c r="F17" s="4">
        <f>IF(B17="","",B17*D17)</f>
        <v/>
      </c>
      <c r="G17" s="4">
        <f>IF(E17="","",ROUNDDOWN(E17*$B$2+$H$2,0))</f>
        <v/>
      </c>
      <c r="H17" s="4">
        <f>IF(F17="","",ROUNDDOWN(F17*$D$2+$H$2,0))</f>
        <v/>
      </c>
      <c r="I17" s="4">
        <f>IF(F17="","",ROUNDDOWN(F17*$F$2,0))</f>
        <v/>
      </c>
      <c r="J17" s="4">
        <f>IF(G17="","",G17+H17+I17)</f>
        <v/>
      </c>
      <c r="K17" s="4">
        <f>IF(J17="","",F17-E17-J17)</f>
        <v/>
      </c>
      <c r="L17" s="5">
        <f>IF(E17="","",K17/E17)</f>
        <v/>
      </c>
      <c r="M17" s="4">
        <f>IF(B17="","",((B17*C17)*(1+$B$2)+2*$H$2)/(B17*(1-$D$2-$F$2)))</f>
        <v/>
      </c>
    </row>
    <row r="18">
      <c r="A18" s="3" t="n"/>
      <c r="C18" s="4" t="n"/>
      <c r="D18" s="4" t="n"/>
      <c r="E18" s="4">
        <f>IF(B18="","",B18*C18)</f>
        <v/>
      </c>
      <c r="F18" s="4">
        <f>IF(B18="","",B18*D18)</f>
        <v/>
      </c>
      <c r="G18" s="4">
        <f>IF(E18="","",ROUNDDOWN(E18*$B$2+$H$2,0))</f>
        <v/>
      </c>
      <c r="H18" s="4">
        <f>IF(F18="","",ROUNDDOWN(F18*$D$2+$H$2,0))</f>
        <v/>
      </c>
      <c r="I18" s="4">
        <f>IF(F18="","",ROUNDDOWN(F18*$F$2,0))</f>
        <v/>
      </c>
      <c r="J18" s="4">
        <f>IF(G18="","",G18+H18+I18)</f>
        <v/>
      </c>
      <c r="K18" s="4">
        <f>IF(J18="","",F18-E18-J18)</f>
        <v/>
      </c>
      <c r="L18" s="5">
        <f>IF(E18="","",K18/E18)</f>
        <v/>
      </c>
      <c r="M18" s="4">
        <f>IF(B18="","",((B18*C18)*(1+$B$2)+2*$H$2)/(B18*(1-$D$2-$F$2)))</f>
        <v/>
      </c>
    </row>
    <row r="19">
      <c r="A19" s="3" t="n"/>
      <c r="C19" s="4" t="n"/>
      <c r="D19" s="4" t="n"/>
      <c r="E19" s="4">
        <f>IF(B19="","",B19*C19)</f>
        <v/>
      </c>
      <c r="F19" s="4">
        <f>IF(B19="","",B19*D19)</f>
        <v/>
      </c>
      <c r="G19" s="4">
        <f>IF(E19="","",ROUNDDOWN(E19*$B$2+$H$2,0))</f>
        <v/>
      </c>
      <c r="H19" s="4">
        <f>IF(F19="","",ROUNDDOWN(F19*$D$2+$H$2,0))</f>
        <v/>
      </c>
      <c r="I19" s="4">
        <f>IF(F19="","",ROUNDDOWN(F19*$F$2,0))</f>
        <v/>
      </c>
      <c r="J19" s="4">
        <f>IF(G19="","",G19+H19+I19)</f>
        <v/>
      </c>
      <c r="K19" s="4">
        <f>IF(J19="","",F19-E19-J19)</f>
        <v/>
      </c>
      <c r="L19" s="5">
        <f>IF(E19="","",K19/E19)</f>
        <v/>
      </c>
      <c r="M19" s="4">
        <f>IF(B19="","",((B19*C19)*(1+$B$2)+2*$H$2)/(B19*(1-$D$2-$F$2)))</f>
        <v/>
      </c>
    </row>
    <row r="20">
      <c r="A20" s="3" t="n"/>
      <c r="C20" s="4" t="n"/>
      <c r="D20" s="4" t="n"/>
      <c r="E20" s="4">
        <f>IF(B20="","",B20*C20)</f>
        <v/>
      </c>
      <c r="F20" s="4">
        <f>IF(B20="","",B20*D20)</f>
        <v/>
      </c>
      <c r="G20" s="4">
        <f>IF(E20="","",ROUNDDOWN(E20*$B$2+$H$2,0))</f>
        <v/>
      </c>
      <c r="H20" s="4">
        <f>IF(F20="","",ROUNDDOWN(F20*$D$2+$H$2,0))</f>
        <v/>
      </c>
      <c r="I20" s="4">
        <f>IF(F20="","",ROUNDDOWN(F20*$F$2,0))</f>
        <v/>
      </c>
      <c r="J20" s="4">
        <f>IF(G20="","",G20+H20+I20)</f>
        <v/>
      </c>
      <c r="K20" s="4">
        <f>IF(J20="","",F20-E20-J20)</f>
        <v/>
      </c>
      <c r="L20" s="5">
        <f>IF(E20="","",K20/E20)</f>
        <v/>
      </c>
      <c r="M20" s="4">
        <f>IF(B20="","",((B20*C20)*(1+$B$2)+2*$H$2)/(B20*(1-$D$2-$F$2)))</f>
        <v/>
      </c>
    </row>
    <row r="21">
      <c r="A21" s="3" t="n"/>
      <c r="C21" s="4" t="n"/>
      <c r="D21" s="4" t="n"/>
      <c r="E21" s="4">
        <f>IF(B21="","",B21*C21)</f>
        <v/>
      </c>
      <c r="F21" s="4">
        <f>IF(B21="","",B21*D21)</f>
        <v/>
      </c>
      <c r="G21" s="4">
        <f>IF(E21="","",ROUNDDOWN(E21*$B$2+$H$2,0))</f>
        <v/>
      </c>
      <c r="H21" s="4">
        <f>IF(F21="","",ROUNDDOWN(F21*$D$2+$H$2,0))</f>
        <v/>
      </c>
      <c r="I21" s="4">
        <f>IF(F21="","",ROUNDDOWN(F21*$F$2,0))</f>
        <v/>
      </c>
      <c r="J21" s="4">
        <f>IF(G21="","",G21+H21+I21)</f>
        <v/>
      </c>
      <c r="K21" s="4">
        <f>IF(J21="","",F21-E21-J21)</f>
        <v/>
      </c>
      <c r="L21" s="5">
        <f>IF(E21="","",K21/E21)</f>
        <v/>
      </c>
      <c r="M21" s="4">
        <f>IF(B21="","",((B21*C21)*(1+$B$2)+2*$H$2)/(B21*(1-$D$2-$F$2)))</f>
        <v/>
      </c>
    </row>
    <row r="22">
      <c r="A22" s="3" t="n"/>
      <c r="C22" s="4" t="n"/>
      <c r="D22" s="4" t="n"/>
      <c r="E22" s="4">
        <f>IF(B22="","",B22*C22)</f>
        <v/>
      </c>
      <c r="F22" s="4">
        <f>IF(B22="","",B22*D22)</f>
        <v/>
      </c>
      <c r="G22" s="4">
        <f>IF(E22="","",ROUNDDOWN(E22*$B$2+$H$2,0))</f>
        <v/>
      </c>
      <c r="H22" s="4">
        <f>IF(F22="","",ROUNDDOWN(F22*$D$2+$H$2,0))</f>
        <v/>
      </c>
      <c r="I22" s="4">
        <f>IF(F22="","",ROUNDDOWN(F22*$F$2,0))</f>
        <v/>
      </c>
      <c r="J22" s="4">
        <f>IF(G22="","",G22+H22+I22)</f>
        <v/>
      </c>
      <c r="K22" s="4">
        <f>IF(J22="","",F22-E22-J22)</f>
        <v/>
      </c>
      <c r="L22" s="5">
        <f>IF(E22="","",K22/E22)</f>
        <v/>
      </c>
      <c r="M22" s="4">
        <f>IF(B22="","",((B22*C22)*(1+$B$2)+2*$H$2)/(B22*(1-$D$2-$F$2)))</f>
        <v/>
      </c>
    </row>
    <row r="23">
      <c r="A23" s="3" t="n"/>
      <c r="C23" s="4" t="n"/>
      <c r="D23" s="4" t="n"/>
      <c r="E23" s="4">
        <f>IF(B23="","",B23*C23)</f>
        <v/>
      </c>
      <c r="F23" s="4">
        <f>IF(B23="","",B23*D23)</f>
        <v/>
      </c>
      <c r="G23" s="4">
        <f>IF(E23="","",ROUNDDOWN(E23*$B$2+$H$2,0))</f>
        <v/>
      </c>
      <c r="H23" s="4">
        <f>IF(F23="","",ROUNDDOWN(F23*$D$2+$H$2,0))</f>
        <v/>
      </c>
      <c r="I23" s="4">
        <f>IF(F23="","",ROUNDDOWN(F23*$F$2,0))</f>
        <v/>
      </c>
      <c r="J23" s="4">
        <f>IF(G23="","",G23+H23+I23)</f>
        <v/>
      </c>
      <c r="K23" s="4">
        <f>IF(J23="","",F23-E23-J23)</f>
        <v/>
      </c>
      <c r="L23" s="5">
        <f>IF(E23="","",K23/E23)</f>
        <v/>
      </c>
      <c r="M23" s="4">
        <f>IF(B23="","",((B23*C23)*(1+$B$2)+2*$H$2)/(B23*(1-$D$2-$F$2)))</f>
        <v/>
      </c>
    </row>
    <row r="24">
      <c r="A24" s="3" t="n"/>
      <c r="C24" s="4" t="n"/>
      <c r="D24" s="4" t="n"/>
      <c r="E24" s="4">
        <f>IF(B24="","",B24*C24)</f>
        <v/>
      </c>
      <c r="F24" s="4">
        <f>IF(B24="","",B24*D24)</f>
        <v/>
      </c>
      <c r="G24" s="4">
        <f>IF(E24="","",ROUNDDOWN(E24*$B$2+$H$2,0))</f>
        <v/>
      </c>
      <c r="H24" s="4">
        <f>IF(F24="","",ROUNDDOWN(F24*$D$2+$H$2,0))</f>
        <v/>
      </c>
      <c r="I24" s="4">
        <f>IF(F24="","",ROUNDDOWN(F24*$F$2,0))</f>
        <v/>
      </c>
      <c r="J24" s="4">
        <f>IF(G24="","",G24+H24+I24)</f>
        <v/>
      </c>
      <c r="K24" s="4">
        <f>IF(J24="","",F24-E24-J24)</f>
        <v/>
      </c>
      <c r="L24" s="5">
        <f>IF(E24="","",K24/E24)</f>
        <v/>
      </c>
      <c r="M24" s="4">
        <f>IF(B24="","",((B24*C24)*(1+$B$2)+2*$H$2)/(B24*(1-$D$2-$F$2)))</f>
        <v/>
      </c>
    </row>
    <row r="25">
      <c r="A25" s="3" t="n"/>
      <c r="C25" s="4" t="n"/>
      <c r="D25" s="4" t="n"/>
      <c r="E25" s="4">
        <f>IF(B25="","",B25*C25)</f>
        <v/>
      </c>
      <c r="F25" s="4">
        <f>IF(B25="","",B25*D25)</f>
        <v/>
      </c>
      <c r="G25" s="4">
        <f>IF(E25="","",ROUNDDOWN(E25*$B$2+$H$2,0))</f>
        <v/>
      </c>
      <c r="H25" s="4">
        <f>IF(F25="","",ROUNDDOWN(F25*$D$2+$H$2,0))</f>
        <v/>
      </c>
      <c r="I25" s="4">
        <f>IF(F25="","",ROUNDDOWN(F25*$F$2,0))</f>
        <v/>
      </c>
      <c r="J25" s="4">
        <f>IF(G25="","",G25+H25+I25)</f>
        <v/>
      </c>
      <c r="K25" s="4">
        <f>IF(J25="","",F25-E25-J25)</f>
        <v/>
      </c>
      <c r="L25" s="5">
        <f>IF(E25="","",K25/E25)</f>
        <v/>
      </c>
      <c r="M25" s="4">
        <f>IF(B25="","",((B25*C25)*(1+$B$2)+2*$H$2)/(B25*(1-$D$2-$F$2)))</f>
        <v/>
      </c>
    </row>
    <row r="26">
      <c r="A26" s="3" t="n"/>
      <c r="C26" s="4" t="n"/>
      <c r="D26" s="4" t="n"/>
      <c r="E26" s="4">
        <f>IF(B26="","",B26*C26)</f>
        <v/>
      </c>
      <c r="F26" s="4">
        <f>IF(B26="","",B26*D26)</f>
        <v/>
      </c>
      <c r="G26" s="4">
        <f>IF(E26="","",ROUNDDOWN(E26*$B$2+$H$2,0))</f>
        <v/>
      </c>
      <c r="H26" s="4">
        <f>IF(F26="","",ROUNDDOWN(F26*$D$2+$H$2,0))</f>
        <v/>
      </c>
      <c r="I26" s="4">
        <f>IF(F26="","",ROUNDDOWN(F26*$F$2,0))</f>
        <v/>
      </c>
      <c r="J26" s="4">
        <f>IF(G26="","",G26+H26+I26)</f>
        <v/>
      </c>
      <c r="K26" s="4">
        <f>IF(J26="","",F26-E26-J26)</f>
        <v/>
      </c>
      <c r="L26" s="5">
        <f>IF(E26="","",K26/E26)</f>
        <v/>
      </c>
      <c r="M26" s="4">
        <f>IF(B26="","",((B26*C26)*(1+$B$2)+2*$H$2)/(B26*(1-$D$2-$F$2)))</f>
        <v/>
      </c>
    </row>
    <row r="27">
      <c r="A27" s="3" t="n"/>
      <c r="C27" s="4" t="n"/>
      <c r="D27" s="4" t="n"/>
      <c r="E27" s="4">
        <f>IF(B27="","",B27*C27)</f>
        <v/>
      </c>
      <c r="F27" s="4">
        <f>IF(B27="","",B27*D27)</f>
        <v/>
      </c>
      <c r="G27" s="4">
        <f>IF(E27="","",ROUNDDOWN(E27*$B$2+$H$2,0))</f>
        <v/>
      </c>
      <c r="H27" s="4">
        <f>IF(F27="","",ROUNDDOWN(F27*$D$2+$H$2,0))</f>
        <v/>
      </c>
      <c r="I27" s="4">
        <f>IF(F27="","",ROUNDDOWN(F27*$F$2,0))</f>
        <v/>
      </c>
      <c r="J27" s="4">
        <f>IF(G27="","",G27+H27+I27)</f>
        <v/>
      </c>
      <c r="K27" s="4">
        <f>IF(J27="","",F27-E27-J27)</f>
        <v/>
      </c>
      <c r="L27" s="5">
        <f>IF(E27="","",K27/E27)</f>
        <v/>
      </c>
      <c r="M27" s="4">
        <f>IF(B27="","",((B27*C27)*(1+$B$2)+2*$H$2)/(B27*(1-$D$2-$F$2)))</f>
        <v/>
      </c>
    </row>
    <row r="28">
      <c r="A28" s="3" t="n"/>
      <c r="C28" s="4" t="n"/>
      <c r="D28" s="4" t="n"/>
      <c r="E28" s="4">
        <f>IF(B28="","",B28*C28)</f>
        <v/>
      </c>
      <c r="F28" s="4">
        <f>IF(B28="","",B28*D28)</f>
        <v/>
      </c>
      <c r="G28" s="4">
        <f>IF(E28="","",ROUNDDOWN(E28*$B$2+$H$2,0))</f>
        <v/>
      </c>
      <c r="H28" s="4">
        <f>IF(F28="","",ROUNDDOWN(F28*$D$2+$H$2,0))</f>
        <v/>
      </c>
      <c r="I28" s="4">
        <f>IF(F28="","",ROUNDDOWN(F28*$F$2,0))</f>
        <v/>
      </c>
      <c r="J28" s="4">
        <f>IF(G28="","",G28+H28+I28)</f>
        <v/>
      </c>
      <c r="K28" s="4">
        <f>IF(J28="","",F28-E28-J28)</f>
        <v/>
      </c>
      <c r="L28" s="5">
        <f>IF(E28="","",K28/E28)</f>
        <v/>
      </c>
      <c r="M28" s="4">
        <f>IF(B28="","",((B28*C28)*(1+$B$2)+2*$H$2)/(B28*(1-$D$2-$F$2)))</f>
        <v/>
      </c>
    </row>
    <row r="29">
      <c r="A29" s="3" t="n"/>
      <c r="C29" s="4" t="n"/>
      <c r="D29" s="4" t="n"/>
      <c r="E29" s="4">
        <f>IF(B29="","",B29*C29)</f>
        <v/>
      </c>
      <c r="F29" s="4">
        <f>IF(B29="","",B29*D29)</f>
        <v/>
      </c>
      <c r="G29" s="4">
        <f>IF(E29="","",ROUNDDOWN(E29*$B$2+$H$2,0))</f>
        <v/>
      </c>
      <c r="H29" s="4">
        <f>IF(F29="","",ROUNDDOWN(F29*$D$2+$H$2,0))</f>
        <v/>
      </c>
      <c r="I29" s="4">
        <f>IF(F29="","",ROUNDDOWN(F29*$F$2,0))</f>
        <v/>
      </c>
      <c r="J29" s="4">
        <f>IF(G29="","",G29+H29+I29)</f>
        <v/>
      </c>
      <c r="K29" s="4">
        <f>IF(J29="","",F29-E29-J29)</f>
        <v/>
      </c>
      <c r="L29" s="5">
        <f>IF(E29="","",K29/E29)</f>
        <v/>
      </c>
      <c r="M29" s="4">
        <f>IF(B29="","",((B29*C29)*(1+$B$2)+2*$H$2)/(B29*(1-$D$2-$F$2)))</f>
        <v/>
      </c>
    </row>
    <row r="30">
      <c r="A30" s="3" t="n"/>
      <c r="C30" s="4" t="n"/>
      <c r="D30" s="4" t="n"/>
      <c r="E30" s="4">
        <f>IF(B30="","",B30*C30)</f>
        <v/>
      </c>
      <c r="F30" s="4">
        <f>IF(B30="","",B30*D30)</f>
        <v/>
      </c>
      <c r="G30" s="4">
        <f>IF(E30="","",ROUNDDOWN(E30*$B$2+$H$2,0))</f>
        <v/>
      </c>
      <c r="H30" s="4">
        <f>IF(F30="","",ROUNDDOWN(F30*$D$2+$H$2,0))</f>
        <v/>
      </c>
      <c r="I30" s="4">
        <f>IF(F30="","",ROUNDDOWN(F30*$F$2,0))</f>
        <v/>
      </c>
      <c r="J30" s="4">
        <f>IF(G30="","",G30+H30+I30)</f>
        <v/>
      </c>
      <c r="K30" s="4">
        <f>IF(J30="","",F30-E30-J30)</f>
        <v/>
      </c>
      <c r="L30" s="5">
        <f>IF(E30="","",K30/E30)</f>
        <v/>
      </c>
      <c r="M30" s="4">
        <f>IF(B30="","",((B30*C30)*(1+$B$2)+2*$H$2)/(B30*(1-$D$2-$F$2)))</f>
        <v/>
      </c>
    </row>
    <row r="31">
      <c r="A31" s="3" t="n"/>
      <c r="C31" s="4" t="n"/>
      <c r="D31" s="4" t="n"/>
      <c r="E31" s="4">
        <f>IF(B31="","",B31*C31)</f>
        <v/>
      </c>
      <c r="F31" s="4">
        <f>IF(B31="","",B31*D31)</f>
        <v/>
      </c>
      <c r="G31" s="4">
        <f>IF(E31="","",ROUNDDOWN(E31*$B$2+$H$2,0))</f>
        <v/>
      </c>
      <c r="H31" s="4">
        <f>IF(F31="","",ROUNDDOWN(F31*$D$2+$H$2,0))</f>
        <v/>
      </c>
      <c r="I31" s="4">
        <f>IF(F31="","",ROUNDDOWN(F31*$F$2,0))</f>
        <v/>
      </c>
      <c r="J31" s="4">
        <f>IF(G31="","",G31+H31+I31)</f>
        <v/>
      </c>
      <c r="K31" s="4">
        <f>IF(J31="","",F31-E31-J31)</f>
        <v/>
      </c>
      <c r="L31" s="5">
        <f>IF(E31="","",K31/E31)</f>
        <v/>
      </c>
      <c r="M31" s="4">
        <f>IF(B31="","",((B31*C31)*(1+$B$2)+2*$H$2)/(B31*(1-$D$2-$F$2)))</f>
        <v/>
      </c>
    </row>
    <row r="32">
      <c r="A32" s="3" t="n"/>
      <c r="C32" s="4" t="n"/>
      <c r="D32" s="4" t="n"/>
      <c r="E32" s="4">
        <f>IF(B32="","",B32*C32)</f>
        <v/>
      </c>
      <c r="F32" s="4">
        <f>IF(B32="","",B32*D32)</f>
        <v/>
      </c>
      <c r="G32" s="4">
        <f>IF(E32="","",ROUNDDOWN(E32*$B$2+$H$2,0))</f>
        <v/>
      </c>
      <c r="H32" s="4">
        <f>IF(F32="","",ROUNDDOWN(F32*$D$2+$H$2,0))</f>
        <v/>
      </c>
      <c r="I32" s="4">
        <f>IF(F32="","",ROUNDDOWN(F32*$F$2,0))</f>
        <v/>
      </c>
      <c r="J32" s="4">
        <f>IF(G32="","",G32+H32+I32)</f>
        <v/>
      </c>
      <c r="K32" s="4">
        <f>IF(J32="","",F32-E32-J32)</f>
        <v/>
      </c>
      <c r="L32" s="5">
        <f>IF(E32="","",K32/E32)</f>
        <v/>
      </c>
      <c r="M32" s="4">
        <f>IF(B32="","",((B32*C32)*(1+$B$2)+2*$H$2)/(B32*(1-$D$2-$F$2)))</f>
        <v/>
      </c>
    </row>
    <row r="33">
      <c r="A33" s="3" t="n"/>
      <c r="C33" s="4" t="n"/>
      <c r="D33" s="4" t="n"/>
      <c r="E33" s="4">
        <f>IF(B33="","",B33*C33)</f>
        <v/>
      </c>
      <c r="F33" s="4">
        <f>IF(B33="","",B33*D33)</f>
        <v/>
      </c>
      <c r="G33" s="4">
        <f>IF(E33="","",ROUNDDOWN(E33*$B$2+$H$2,0))</f>
        <v/>
      </c>
      <c r="H33" s="4">
        <f>IF(F33="","",ROUNDDOWN(F33*$D$2+$H$2,0))</f>
        <v/>
      </c>
      <c r="I33" s="4">
        <f>IF(F33="","",ROUNDDOWN(F33*$F$2,0))</f>
        <v/>
      </c>
      <c r="J33" s="4">
        <f>IF(G33="","",G33+H33+I33)</f>
        <v/>
      </c>
      <c r="K33" s="4">
        <f>IF(J33="","",F33-E33-J33)</f>
        <v/>
      </c>
      <c r="L33" s="5">
        <f>IF(E33="","",K33/E33)</f>
        <v/>
      </c>
      <c r="M33" s="4">
        <f>IF(B33="","",((B33*C33)*(1+$B$2)+2*$H$2)/(B33*(1-$D$2-$F$2)))</f>
        <v/>
      </c>
    </row>
    <row r="34">
      <c r="A34" s="3" t="n"/>
      <c r="C34" s="4" t="n"/>
      <c r="D34" s="4" t="n"/>
      <c r="E34" s="4">
        <f>IF(B34="","",B34*C34)</f>
        <v/>
      </c>
      <c r="F34" s="4">
        <f>IF(B34="","",B34*D34)</f>
        <v/>
      </c>
      <c r="G34" s="4">
        <f>IF(E34="","",ROUNDDOWN(E34*$B$2+$H$2,0))</f>
        <v/>
      </c>
      <c r="H34" s="4">
        <f>IF(F34="","",ROUNDDOWN(F34*$D$2+$H$2,0))</f>
        <v/>
      </c>
      <c r="I34" s="4">
        <f>IF(F34="","",ROUNDDOWN(F34*$F$2,0))</f>
        <v/>
      </c>
      <c r="J34" s="4">
        <f>IF(G34="","",G34+H34+I34)</f>
        <v/>
      </c>
      <c r="K34" s="4">
        <f>IF(J34="","",F34-E34-J34)</f>
        <v/>
      </c>
      <c r="L34" s="5">
        <f>IF(E34="","",K34/E34)</f>
        <v/>
      </c>
      <c r="M34" s="4">
        <f>IF(B34="","",((B34*C34)*(1+$B$2)+2*$H$2)/(B34*(1-$D$2-$F$2)))</f>
        <v/>
      </c>
    </row>
    <row r="35">
      <c r="A35" s="3" t="n"/>
      <c r="C35" s="4" t="n"/>
      <c r="D35" s="4" t="n"/>
      <c r="E35" s="4">
        <f>IF(B35="","",B35*C35)</f>
        <v/>
      </c>
      <c r="F35" s="4">
        <f>IF(B35="","",B35*D35)</f>
        <v/>
      </c>
      <c r="G35" s="4">
        <f>IF(E35="","",ROUNDDOWN(E35*$B$2+$H$2,0))</f>
        <v/>
      </c>
      <c r="H35" s="4">
        <f>IF(F35="","",ROUNDDOWN(F35*$D$2+$H$2,0))</f>
        <v/>
      </c>
      <c r="I35" s="4">
        <f>IF(F35="","",ROUNDDOWN(F35*$F$2,0))</f>
        <v/>
      </c>
      <c r="J35" s="4">
        <f>IF(G35="","",G35+H35+I35)</f>
        <v/>
      </c>
      <c r="K35" s="4">
        <f>IF(J35="","",F35-E35-J35)</f>
        <v/>
      </c>
      <c r="L35" s="5">
        <f>IF(E35="","",K35/E35)</f>
        <v/>
      </c>
      <c r="M35" s="4">
        <f>IF(B35="","",((B35*C35)*(1+$B$2)+2*$H$2)/(B35*(1-$D$2-$F$2)))</f>
        <v/>
      </c>
    </row>
    <row r="36">
      <c r="A36" s="3" t="n"/>
      <c r="C36" s="4" t="n"/>
      <c r="D36" s="4" t="n"/>
      <c r="E36" s="4">
        <f>IF(B36="","",B36*C36)</f>
        <v/>
      </c>
      <c r="F36" s="4">
        <f>IF(B36="","",B36*D36)</f>
        <v/>
      </c>
      <c r="G36" s="4">
        <f>IF(E36="","",ROUNDDOWN(E36*$B$2+$H$2,0))</f>
        <v/>
      </c>
      <c r="H36" s="4">
        <f>IF(F36="","",ROUNDDOWN(F36*$D$2+$H$2,0))</f>
        <v/>
      </c>
      <c r="I36" s="4">
        <f>IF(F36="","",ROUNDDOWN(F36*$F$2,0))</f>
        <v/>
      </c>
      <c r="J36" s="4">
        <f>IF(G36="","",G36+H36+I36)</f>
        <v/>
      </c>
      <c r="K36" s="4">
        <f>IF(J36="","",F36-E36-J36)</f>
        <v/>
      </c>
      <c r="L36" s="5">
        <f>IF(E36="","",K36/E36)</f>
        <v/>
      </c>
      <c r="M36" s="4">
        <f>IF(B36="","",((B36*C36)*(1+$B$2)+2*$H$2)/(B36*(1-$D$2-$F$2)))</f>
        <v/>
      </c>
    </row>
    <row r="37">
      <c r="A37" s="3" t="n"/>
      <c r="C37" s="4" t="n"/>
      <c r="D37" s="4" t="n"/>
      <c r="E37" s="4">
        <f>IF(B37="","",B37*C37)</f>
        <v/>
      </c>
      <c r="F37" s="4">
        <f>IF(B37="","",B37*D37)</f>
        <v/>
      </c>
      <c r="G37" s="4">
        <f>IF(E37="","",ROUNDDOWN(E37*$B$2+$H$2,0))</f>
        <v/>
      </c>
      <c r="H37" s="4">
        <f>IF(F37="","",ROUNDDOWN(F37*$D$2+$H$2,0))</f>
        <v/>
      </c>
      <c r="I37" s="4">
        <f>IF(F37="","",ROUNDDOWN(F37*$F$2,0))</f>
        <v/>
      </c>
      <c r="J37" s="4">
        <f>IF(G37="","",G37+H37+I37)</f>
        <v/>
      </c>
      <c r="K37" s="4">
        <f>IF(J37="","",F37-E37-J37)</f>
        <v/>
      </c>
      <c r="L37" s="5">
        <f>IF(E37="","",K37/E37)</f>
        <v/>
      </c>
      <c r="M37" s="4">
        <f>IF(B37="","",((B37*C37)*(1+$B$2)+2*$H$2)/(B37*(1-$D$2-$F$2)))</f>
        <v/>
      </c>
    </row>
    <row r="38">
      <c r="A38" s="3" t="n"/>
      <c r="C38" s="4" t="n"/>
      <c r="D38" s="4" t="n"/>
      <c r="E38" s="4">
        <f>IF(B38="","",B38*C38)</f>
        <v/>
      </c>
      <c r="F38" s="4">
        <f>IF(B38="","",B38*D38)</f>
        <v/>
      </c>
      <c r="G38" s="4">
        <f>IF(E38="","",ROUNDDOWN(E38*$B$2+$H$2,0))</f>
        <v/>
      </c>
      <c r="H38" s="4">
        <f>IF(F38="","",ROUNDDOWN(F38*$D$2+$H$2,0))</f>
        <v/>
      </c>
      <c r="I38" s="4">
        <f>IF(F38="","",ROUNDDOWN(F38*$F$2,0))</f>
        <v/>
      </c>
      <c r="J38" s="4">
        <f>IF(G38="","",G38+H38+I38)</f>
        <v/>
      </c>
      <c r="K38" s="4">
        <f>IF(J38="","",F38-E38-J38)</f>
        <v/>
      </c>
      <c r="L38" s="5">
        <f>IF(E38="","",K38/E38)</f>
        <v/>
      </c>
      <c r="M38" s="4">
        <f>IF(B38="","",((B38*C38)*(1+$B$2)+2*$H$2)/(B38*(1-$D$2-$F$2)))</f>
        <v/>
      </c>
    </row>
    <row r="39">
      <c r="A39" s="3" t="n"/>
      <c r="C39" s="4" t="n"/>
      <c r="D39" s="4" t="n"/>
      <c r="E39" s="4">
        <f>IF(B39="","",B39*C39)</f>
        <v/>
      </c>
      <c r="F39" s="4">
        <f>IF(B39="","",B39*D39)</f>
        <v/>
      </c>
      <c r="G39" s="4">
        <f>IF(E39="","",ROUNDDOWN(E39*$B$2+$H$2,0))</f>
        <v/>
      </c>
      <c r="H39" s="4">
        <f>IF(F39="","",ROUNDDOWN(F39*$D$2+$H$2,0))</f>
        <v/>
      </c>
      <c r="I39" s="4">
        <f>IF(F39="","",ROUNDDOWN(F39*$F$2,0))</f>
        <v/>
      </c>
      <c r="J39" s="4">
        <f>IF(G39="","",G39+H39+I39)</f>
        <v/>
      </c>
      <c r="K39" s="4">
        <f>IF(J39="","",F39-E39-J39)</f>
        <v/>
      </c>
      <c r="L39" s="5">
        <f>IF(E39="","",K39/E39)</f>
        <v/>
      </c>
      <c r="M39" s="4">
        <f>IF(B39="","",((B39*C39)*(1+$B$2)+2*$H$2)/(B39*(1-$D$2-$F$2)))</f>
        <v/>
      </c>
    </row>
    <row r="40">
      <c r="A40" s="3" t="n"/>
      <c r="C40" s="4" t="n"/>
      <c r="D40" s="4" t="n"/>
      <c r="E40" s="4">
        <f>IF(B40="","",B40*C40)</f>
        <v/>
      </c>
      <c r="F40" s="4">
        <f>IF(B40="","",B40*D40)</f>
        <v/>
      </c>
      <c r="G40" s="4">
        <f>IF(E40="","",ROUNDDOWN(E40*$B$2+$H$2,0))</f>
        <v/>
      </c>
      <c r="H40" s="4">
        <f>IF(F40="","",ROUNDDOWN(F40*$D$2+$H$2,0))</f>
        <v/>
      </c>
      <c r="I40" s="4">
        <f>IF(F40="","",ROUNDDOWN(F40*$F$2,0))</f>
        <v/>
      </c>
      <c r="J40" s="4">
        <f>IF(G40="","",G40+H40+I40)</f>
        <v/>
      </c>
      <c r="K40" s="4">
        <f>IF(J40="","",F40-E40-J40)</f>
        <v/>
      </c>
      <c r="L40" s="5">
        <f>IF(E40="","",K40/E40)</f>
        <v/>
      </c>
      <c r="M40" s="4">
        <f>IF(B40="","",((B40*C40)*(1+$B$2)+2*$H$2)/(B40*(1-$D$2-$F$2)))</f>
        <v/>
      </c>
    </row>
    <row r="41">
      <c r="A41" s="3" t="n"/>
      <c r="C41" s="4" t="n"/>
      <c r="D41" s="4" t="n"/>
      <c r="E41" s="4">
        <f>IF(B41="","",B41*C41)</f>
        <v/>
      </c>
      <c r="F41" s="4">
        <f>IF(B41="","",B41*D41)</f>
        <v/>
      </c>
      <c r="G41" s="4">
        <f>IF(E41="","",ROUNDDOWN(E41*$B$2+$H$2,0))</f>
        <v/>
      </c>
      <c r="H41" s="4">
        <f>IF(F41="","",ROUNDDOWN(F41*$D$2+$H$2,0))</f>
        <v/>
      </c>
      <c r="I41" s="4">
        <f>IF(F41="","",ROUNDDOWN(F41*$F$2,0))</f>
        <v/>
      </c>
      <c r="J41" s="4">
        <f>IF(G41="","",G41+H41+I41)</f>
        <v/>
      </c>
      <c r="K41" s="4">
        <f>IF(J41="","",F41-E41-J41)</f>
        <v/>
      </c>
      <c r="L41" s="5">
        <f>IF(E41="","",K41/E41)</f>
        <v/>
      </c>
      <c r="M41" s="4">
        <f>IF(B41="","",((B41*C41)*(1+$B$2)+2*$H$2)/(B41*(1-$D$2-$F$2)))</f>
        <v/>
      </c>
    </row>
    <row r="42">
      <c r="A42" s="3" t="n"/>
      <c r="C42" s="4" t="n"/>
      <c r="D42" s="4" t="n"/>
      <c r="E42" s="4">
        <f>IF(B42="","",B42*C42)</f>
        <v/>
      </c>
      <c r="F42" s="4">
        <f>IF(B42="","",B42*D42)</f>
        <v/>
      </c>
      <c r="G42" s="4">
        <f>IF(E42="","",ROUNDDOWN(E42*$B$2+$H$2,0))</f>
        <v/>
      </c>
      <c r="H42" s="4">
        <f>IF(F42="","",ROUNDDOWN(F42*$D$2+$H$2,0))</f>
        <v/>
      </c>
      <c r="I42" s="4">
        <f>IF(F42="","",ROUNDDOWN(F42*$F$2,0))</f>
        <v/>
      </c>
      <c r="J42" s="4">
        <f>IF(G42="","",G42+H42+I42)</f>
        <v/>
      </c>
      <c r="K42" s="4">
        <f>IF(J42="","",F42-E42-J42)</f>
        <v/>
      </c>
      <c r="L42" s="5">
        <f>IF(E42="","",K42/E42)</f>
        <v/>
      </c>
      <c r="M42" s="4">
        <f>IF(B42="","",((B42*C42)*(1+$B$2)+2*$H$2)/(B42*(1-$D$2-$F$2)))</f>
        <v/>
      </c>
    </row>
    <row r="43">
      <c r="A43" s="3" t="n"/>
      <c r="C43" s="4" t="n"/>
      <c r="D43" s="4" t="n"/>
      <c r="E43" s="4">
        <f>IF(B43="","",B43*C43)</f>
        <v/>
      </c>
      <c r="F43" s="4">
        <f>IF(B43="","",B43*D43)</f>
        <v/>
      </c>
      <c r="G43" s="4">
        <f>IF(E43="","",ROUNDDOWN(E43*$B$2+$H$2,0))</f>
        <v/>
      </c>
      <c r="H43" s="4">
        <f>IF(F43="","",ROUNDDOWN(F43*$D$2+$H$2,0))</f>
        <v/>
      </c>
      <c r="I43" s="4">
        <f>IF(F43="","",ROUNDDOWN(F43*$F$2,0))</f>
        <v/>
      </c>
      <c r="J43" s="4">
        <f>IF(G43="","",G43+H43+I43)</f>
        <v/>
      </c>
      <c r="K43" s="4">
        <f>IF(J43="","",F43-E43-J43)</f>
        <v/>
      </c>
      <c r="L43" s="5">
        <f>IF(E43="","",K43/E43)</f>
        <v/>
      </c>
      <c r="M43" s="4">
        <f>IF(B43="","",((B43*C43)*(1+$B$2)+2*$H$2)/(B43*(1-$D$2-$F$2)))</f>
        <v/>
      </c>
    </row>
    <row r="44">
      <c r="A44" s="3" t="n"/>
      <c r="C44" s="4" t="n"/>
      <c r="D44" s="4" t="n"/>
      <c r="E44" s="4">
        <f>IF(B44="","",B44*C44)</f>
        <v/>
      </c>
      <c r="F44" s="4">
        <f>IF(B44="","",B44*D44)</f>
        <v/>
      </c>
      <c r="G44" s="4">
        <f>IF(E44="","",ROUNDDOWN(E44*$B$2+$H$2,0))</f>
        <v/>
      </c>
      <c r="H44" s="4">
        <f>IF(F44="","",ROUNDDOWN(F44*$D$2+$H$2,0))</f>
        <v/>
      </c>
      <c r="I44" s="4">
        <f>IF(F44="","",ROUNDDOWN(F44*$F$2,0))</f>
        <v/>
      </c>
      <c r="J44" s="4">
        <f>IF(G44="","",G44+H44+I44)</f>
        <v/>
      </c>
      <c r="K44" s="4">
        <f>IF(J44="","",F44-E44-J44)</f>
        <v/>
      </c>
      <c r="L44" s="5">
        <f>IF(E44="","",K44/E44)</f>
        <v/>
      </c>
      <c r="M44" s="4">
        <f>IF(B44="","",((B44*C44)*(1+$B$2)+2*$H$2)/(B44*(1-$D$2-$F$2)))</f>
        <v/>
      </c>
    </row>
    <row r="45">
      <c r="A45" s="3" t="n"/>
      <c r="C45" s="4" t="n"/>
      <c r="D45" s="4" t="n"/>
      <c r="E45" s="4">
        <f>IF(B45="","",B45*C45)</f>
        <v/>
      </c>
      <c r="F45" s="4">
        <f>IF(B45="","",B45*D45)</f>
        <v/>
      </c>
      <c r="G45" s="4">
        <f>IF(E45="","",ROUNDDOWN(E45*$B$2+$H$2,0))</f>
        <v/>
      </c>
      <c r="H45" s="4">
        <f>IF(F45="","",ROUNDDOWN(F45*$D$2+$H$2,0))</f>
        <v/>
      </c>
      <c r="I45" s="4">
        <f>IF(F45="","",ROUNDDOWN(F45*$F$2,0))</f>
        <v/>
      </c>
      <c r="J45" s="4">
        <f>IF(G45="","",G45+H45+I45)</f>
        <v/>
      </c>
      <c r="K45" s="4">
        <f>IF(J45="","",F45-E45-J45)</f>
        <v/>
      </c>
      <c r="L45" s="5">
        <f>IF(E45="","",K45/E45)</f>
        <v/>
      </c>
      <c r="M45" s="4">
        <f>IF(B45="","",((B45*C45)*(1+$B$2)+2*$H$2)/(B45*(1-$D$2-$F$2)))</f>
        <v/>
      </c>
    </row>
    <row r="46">
      <c r="A46" s="3" t="n"/>
      <c r="C46" s="4" t="n"/>
      <c r="D46" s="4" t="n"/>
      <c r="E46" s="4">
        <f>IF(B46="","",B46*C46)</f>
        <v/>
      </c>
      <c r="F46" s="4">
        <f>IF(B46="","",B46*D46)</f>
        <v/>
      </c>
      <c r="G46" s="4">
        <f>IF(E46="","",ROUNDDOWN(E46*$B$2+$H$2,0))</f>
        <v/>
      </c>
      <c r="H46" s="4">
        <f>IF(F46="","",ROUNDDOWN(F46*$D$2+$H$2,0))</f>
        <v/>
      </c>
      <c r="I46" s="4">
        <f>IF(F46="","",ROUNDDOWN(F46*$F$2,0))</f>
        <v/>
      </c>
      <c r="J46" s="4">
        <f>IF(G46="","",G46+H46+I46)</f>
        <v/>
      </c>
      <c r="K46" s="4">
        <f>IF(J46="","",F46-E46-J46)</f>
        <v/>
      </c>
      <c r="L46" s="5">
        <f>IF(E46="","",K46/E46)</f>
        <v/>
      </c>
      <c r="M46" s="4">
        <f>IF(B46="","",((B46*C46)*(1+$B$2)+2*$H$2)/(B46*(1-$D$2-$F$2)))</f>
        <v/>
      </c>
    </row>
    <row r="47">
      <c r="A47" s="3" t="n"/>
      <c r="C47" s="4" t="n"/>
      <c r="D47" s="4" t="n"/>
      <c r="E47" s="4">
        <f>IF(B47="","",B47*C47)</f>
        <v/>
      </c>
      <c r="F47" s="4">
        <f>IF(B47="","",B47*D47)</f>
        <v/>
      </c>
      <c r="G47" s="4">
        <f>IF(E47="","",ROUNDDOWN(E47*$B$2+$H$2,0))</f>
        <v/>
      </c>
      <c r="H47" s="4">
        <f>IF(F47="","",ROUNDDOWN(F47*$D$2+$H$2,0))</f>
        <v/>
      </c>
      <c r="I47" s="4">
        <f>IF(F47="","",ROUNDDOWN(F47*$F$2,0))</f>
        <v/>
      </c>
      <c r="J47" s="4">
        <f>IF(G47="","",G47+H47+I47)</f>
        <v/>
      </c>
      <c r="K47" s="4">
        <f>IF(J47="","",F47-E47-J47)</f>
        <v/>
      </c>
      <c r="L47" s="5">
        <f>IF(E47="","",K47/E47)</f>
        <v/>
      </c>
      <c r="M47" s="4">
        <f>IF(B47="","",((B47*C47)*(1+$B$2)+2*$H$2)/(B47*(1-$D$2-$F$2)))</f>
        <v/>
      </c>
    </row>
    <row r="48">
      <c r="A48" s="3" t="n"/>
      <c r="C48" s="4" t="n"/>
      <c r="D48" s="4" t="n"/>
      <c r="E48" s="4">
        <f>IF(B48="","",B48*C48)</f>
        <v/>
      </c>
      <c r="F48" s="4">
        <f>IF(B48="","",B48*D48)</f>
        <v/>
      </c>
      <c r="G48" s="4">
        <f>IF(E48="","",ROUNDDOWN(E48*$B$2+$H$2,0))</f>
        <v/>
      </c>
      <c r="H48" s="4">
        <f>IF(F48="","",ROUNDDOWN(F48*$D$2+$H$2,0))</f>
        <v/>
      </c>
      <c r="I48" s="4">
        <f>IF(F48="","",ROUNDDOWN(F48*$F$2,0))</f>
        <v/>
      </c>
      <c r="J48" s="4">
        <f>IF(G48="","",G48+H48+I48)</f>
        <v/>
      </c>
      <c r="K48" s="4">
        <f>IF(J48="","",F48-E48-J48)</f>
        <v/>
      </c>
      <c r="L48" s="5">
        <f>IF(E48="","",K48/E48)</f>
        <v/>
      </c>
      <c r="M48" s="4">
        <f>IF(B48="","",((B48*C48)*(1+$B$2)+2*$H$2)/(B48*(1-$D$2-$F$2)))</f>
        <v/>
      </c>
    </row>
    <row r="49">
      <c r="A49" s="3" t="n"/>
      <c r="C49" s="4" t="n"/>
      <c r="D49" s="4" t="n"/>
      <c r="E49" s="4">
        <f>IF(B49="","",B49*C49)</f>
        <v/>
      </c>
      <c r="F49" s="4">
        <f>IF(B49="","",B49*D49)</f>
        <v/>
      </c>
      <c r="G49" s="4">
        <f>IF(E49="","",ROUNDDOWN(E49*$B$2+$H$2,0))</f>
        <v/>
      </c>
      <c r="H49" s="4">
        <f>IF(F49="","",ROUNDDOWN(F49*$D$2+$H$2,0))</f>
        <v/>
      </c>
      <c r="I49" s="4">
        <f>IF(F49="","",ROUNDDOWN(F49*$F$2,0))</f>
        <v/>
      </c>
      <c r="J49" s="4">
        <f>IF(G49="","",G49+H49+I49)</f>
        <v/>
      </c>
      <c r="K49" s="4">
        <f>IF(J49="","",F49-E49-J49)</f>
        <v/>
      </c>
      <c r="L49" s="5">
        <f>IF(E49="","",K49/E49)</f>
        <v/>
      </c>
      <c r="M49" s="4">
        <f>IF(B49="","",((B49*C49)*(1+$B$2)+2*$H$2)/(B49*(1-$D$2-$F$2)))</f>
        <v/>
      </c>
    </row>
    <row r="50">
      <c r="A50" s="3" t="n"/>
      <c r="C50" s="4" t="n"/>
      <c r="D50" s="4" t="n"/>
      <c r="E50" s="4">
        <f>IF(B50="","",B50*C50)</f>
        <v/>
      </c>
      <c r="F50" s="4">
        <f>IF(B50="","",B50*D50)</f>
        <v/>
      </c>
      <c r="G50" s="4">
        <f>IF(E50="","",ROUNDDOWN(E50*$B$2+$H$2,0))</f>
        <v/>
      </c>
      <c r="H50" s="4">
        <f>IF(F50="","",ROUNDDOWN(F50*$D$2+$H$2,0))</f>
        <v/>
      </c>
      <c r="I50" s="4">
        <f>IF(F50="","",ROUNDDOWN(F50*$F$2,0))</f>
        <v/>
      </c>
      <c r="J50" s="4">
        <f>IF(G50="","",G50+H50+I50)</f>
        <v/>
      </c>
      <c r="K50" s="4">
        <f>IF(J50="","",F50-E50-J50)</f>
        <v/>
      </c>
      <c r="L50" s="5">
        <f>IF(E50="","",K50/E50)</f>
        <v/>
      </c>
      <c r="M50" s="4">
        <f>IF(B50="","",((B50*C50)*(1+$B$2)+2*$H$2)/(B50*(1-$D$2-$F$2)))</f>
        <v/>
      </c>
    </row>
    <row r="51">
      <c r="A51" s="3" t="n"/>
      <c r="C51" s="4" t="n"/>
      <c r="D51" s="4" t="n"/>
      <c r="E51" s="4">
        <f>IF(B51="","",B51*C51)</f>
        <v/>
      </c>
      <c r="F51" s="4">
        <f>IF(B51="","",B51*D51)</f>
        <v/>
      </c>
      <c r="G51" s="4">
        <f>IF(E51="","",ROUNDDOWN(E51*$B$2+$H$2,0))</f>
        <v/>
      </c>
      <c r="H51" s="4">
        <f>IF(F51="","",ROUNDDOWN(F51*$D$2+$H$2,0))</f>
        <v/>
      </c>
      <c r="I51" s="4">
        <f>IF(F51="","",ROUNDDOWN(F51*$F$2,0))</f>
        <v/>
      </c>
      <c r="J51" s="4">
        <f>IF(G51="","",G51+H51+I51)</f>
        <v/>
      </c>
      <c r="K51" s="4">
        <f>IF(J51="","",F51-E51-J51)</f>
        <v/>
      </c>
      <c r="L51" s="5">
        <f>IF(E51="","",K51/E51)</f>
        <v/>
      </c>
      <c r="M51" s="4">
        <f>IF(B51="","",((B51*C51)*(1+$B$2)+2*$H$2)/(B51*(1-$D$2-$F$2)))</f>
        <v/>
      </c>
    </row>
    <row r="52">
      <c r="A52" s="3" t="n"/>
      <c r="C52" s="4" t="n"/>
      <c r="D52" s="4" t="n"/>
      <c r="E52" s="4">
        <f>IF(B52="","",B52*C52)</f>
        <v/>
      </c>
      <c r="F52" s="4">
        <f>IF(B52="","",B52*D52)</f>
        <v/>
      </c>
      <c r="G52" s="4">
        <f>IF(E52="","",ROUNDDOWN(E52*$B$2+$H$2,0))</f>
        <v/>
      </c>
      <c r="H52" s="4">
        <f>IF(F52="","",ROUNDDOWN(F52*$D$2+$H$2,0))</f>
        <v/>
      </c>
      <c r="I52" s="4">
        <f>IF(F52="","",ROUNDDOWN(F52*$F$2,0))</f>
        <v/>
      </c>
      <c r="J52" s="4">
        <f>IF(G52="","",G52+H52+I52)</f>
        <v/>
      </c>
      <c r="K52" s="4">
        <f>IF(J52="","",F52-E52-J52)</f>
        <v/>
      </c>
      <c r="L52" s="5">
        <f>IF(E52="","",K52/E52)</f>
        <v/>
      </c>
      <c r="M52" s="4">
        <f>IF(B52="","",((B52*C52)*(1+$B$2)+2*$H$2)/(B52*(1-$D$2-$F$2)))</f>
        <v/>
      </c>
    </row>
    <row r="53">
      <c r="A53" s="3" t="n"/>
      <c r="C53" s="4" t="n"/>
      <c r="D53" s="4" t="n"/>
      <c r="E53" s="4">
        <f>IF(B53="","",B53*C53)</f>
        <v/>
      </c>
      <c r="F53" s="4">
        <f>IF(B53="","",B53*D53)</f>
        <v/>
      </c>
      <c r="G53" s="4">
        <f>IF(E53="","",ROUNDDOWN(E53*$B$2+$H$2,0))</f>
        <v/>
      </c>
      <c r="H53" s="4">
        <f>IF(F53="","",ROUNDDOWN(F53*$D$2+$H$2,0))</f>
        <v/>
      </c>
      <c r="I53" s="4">
        <f>IF(F53="","",ROUNDDOWN(F53*$F$2,0))</f>
        <v/>
      </c>
      <c r="J53" s="4">
        <f>IF(G53="","",G53+H53+I53)</f>
        <v/>
      </c>
      <c r="K53" s="4">
        <f>IF(J53="","",F53-E53-J53)</f>
        <v/>
      </c>
      <c r="L53" s="5">
        <f>IF(E53="","",K53/E53)</f>
        <v/>
      </c>
      <c r="M53" s="4">
        <f>IF(B53="","",((B53*C53)*(1+$B$2)+2*$H$2)/(B53*(1-$D$2-$F$2)))</f>
        <v/>
      </c>
    </row>
    <row r="54">
      <c r="A54" s="3" t="n"/>
      <c r="C54" s="4" t="n"/>
      <c r="D54" s="4" t="n"/>
      <c r="E54" s="4">
        <f>IF(B54="","",B54*C54)</f>
        <v/>
      </c>
      <c r="F54" s="4">
        <f>IF(B54="","",B54*D54)</f>
        <v/>
      </c>
      <c r="G54" s="4">
        <f>IF(E54="","",ROUNDDOWN(E54*$B$2+$H$2,0))</f>
        <v/>
      </c>
      <c r="H54" s="4">
        <f>IF(F54="","",ROUNDDOWN(F54*$D$2+$H$2,0))</f>
        <v/>
      </c>
      <c r="I54" s="4">
        <f>IF(F54="","",ROUNDDOWN(F54*$F$2,0))</f>
        <v/>
      </c>
      <c r="J54" s="4">
        <f>IF(G54="","",G54+H54+I54)</f>
        <v/>
      </c>
      <c r="K54" s="4">
        <f>IF(J54="","",F54-E54-J54)</f>
        <v/>
      </c>
      <c r="L54" s="5">
        <f>IF(E54="","",K54/E54)</f>
        <v/>
      </c>
      <c r="M54" s="4">
        <f>IF(B54="","",((B54*C54)*(1+$B$2)+2*$H$2)/(B54*(1-$D$2-$F$2)))</f>
        <v/>
      </c>
    </row>
    <row r="55">
      <c r="A55" s="3" t="n"/>
      <c r="C55" s="4" t="n"/>
      <c r="D55" s="4" t="n"/>
      <c r="E55" s="4">
        <f>IF(B55="","",B55*C55)</f>
        <v/>
      </c>
      <c r="F55" s="4">
        <f>IF(B55="","",B55*D55)</f>
        <v/>
      </c>
      <c r="G55" s="4">
        <f>IF(E55="","",ROUNDDOWN(E55*$B$2+$H$2,0))</f>
        <v/>
      </c>
      <c r="H55" s="4">
        <f>IF(F55="","",ROUNDDOWN(F55*$D$2+$H$2,0))</f>
        <v/>
      </c>
      <c r="I55" s="4">
        <f>IF(F55="","",ROUNDDOWN(F55*$F$2,0))</f>
        <v/>
      </c>
      <c r="J55" s="4">
        <f>IF(G55="","",G55+H55+I55)</f>
        <v/>
      </c>
      <c r="K55" s="4">
        <f>IF(J55="","",F55-E55-J55)</f>
        <v/>
      </c>
      <c r="L55" s="5">
        <f>IF(E55="","",K55/E55)</f>
        <v/>
      </c>
      <c r="M55" s="4">
        <f>IF(B55="","",((B55*C55)*(1+$B$2)+2*$H$2)/(B55*(1-$D$2-$F$2)))</f>
        <v/>
      </c>
    </row>
    <row r="56">
      <c r="A56" s="3" t="n"/>
      <c r="C56" s="4" t="n"/>
      <c r="D56" s="4" t="n"/>
      <c r="E56" s="4">
        <f>IF(B56="","",B56*C56)</f>
        <v/>
      </c>
      <c r="F56" s="4">
        <f>IF(B56="","",B56*D56)</f>
        <v/>
      </c>
      <c r="G56" s="4">
        <f>IF(E56="","",ROUNDDOWN(E56*$B$2+$H$2,0))</f>
        <v/>
      </c>
      <c r="H56" s="4">
        <f>IF(F56="","",ROUNDDOWN(F56*$D$2+$H$2,0))</f>
        <v/>
      </c>
      <c r="I56" s="4">
        <f>IF(F56="","",ROUNDDOWN(F56*$F$2,0))</f>
        <v/>
      </c>
      <c r="J56" s="4">
        <f>IF(G56="","",G56+H56+I56)</f>
        <v/>
      </c>
      <c r="K56" s="4">
        <f>IF(J56="","",F56-E56-J56)</f>
        <v/>
      </c>
      <c r="L56" s="5">
        <f>IF(E56="","",K56/E56)</f>
        <v/>
      </c>
      <c r="M56" s="4">
        <f>IF(B56="","",((B56*C56)*(1+$B$2)+2*$H$2)/(B56*(1-$D$2-$F$2)))</f>
        <v/>
      </c>
    </row>
    <row r="57">
      <c r="A57" s="3" t="n"/>
      <c r="C57" s="4" t="n"/>
      <c r="D57" s="4" t="n"/>
      <c r="E57" s="4">
        <f>IF(B57="","",B57*C57)</f>
        <v/>
      </c>
      <c r="F57" s="4">
        <f>IF(B57="","",B57*D57)</f>
        <v/>
      </c>
      <c r="G57" s="4">
        <f>IF(E57="","",ROUNDDOWN(E57*$B$2+$H$2,0))</f>
        <v/>
      </c>
      <c r="H57" s="4">
        <f>IF(F57="","",ROUNDDOWN(F57*$D$2+$H$2,0))</f>
        <v/>
      </c>
      <c r="I57" s="4">
        <f>IF(F57="","",ROUNDDOWN(F57*$F$2,0))</f>
        <v/>
      </c>
      <c r="J57" s="4">
        <f>IF(G57="","",G57+H57+I57)</f>
        <v/>
      </c>
      <c r="K57" s="4">
        <f>IF(J57="","",F57-E57-J57)</f>
        <v/>
      </c>
      <c r="L57" s="5">
        <f>IF(E57="","",K57/E57)</f>
        <v/>
      </c>
      <c r="M57" s="4">
        <f>IF(B57="","",((B57*C57)*(1+$B$2)+2*$H$2)/(B57*(1-$D$2-$F$2)))</f>
        <v/>
      </c>
    </row>
    <row r="58">
      <c r="A58" s="3" t="n"/>
      <c r="C58" s="4" t="n"/>
      <c r="D58" s="4" t="n"/>
      <c r="E58" s="4">
        <f>IF(B58="","",B58*C58)</f>
        <v/>
      </c>
      <c r="F58" s="4">
        <f>IF(B58="","",B58*D58)</f>
        <v/>
      </c>
      <c r="G58" s="4">
        <f>IF(E58="","",ROUNDDOWN(E58*$B$2+$H$2,0))</f>
        <v/>
      </c>
      <c r="H58" s="4">
        <f>IF(F58="","",ROUNDDOWN(F58*$D$2+$H$2,0))</f>
        <v/>
      </c>
      <c r="I58" s="4">
        <f>IF(F58="","",ROUNDDOWN(F58*$F$2,0))</f>
        <v/>
      </c>
      <c r="J58" s="4">
        <f>IF(G58="","",G58+H58+I58)</f>
        <v/>
      </c>
      <c r="K58" s="4">
        <f>IF(J58="","",F58-E58-J58)</f>
        <v/>
      </c>
      <c r="L58" s="5">
        <f>IF(E58="","",K58/E58)</f>
        <v/>
      </c>
      <c r="M58" s="4">
        <f>IF(B58="","",((B58*C58)*(1+$B$2)+2*$H$2)/(B58*(1-$D$2-$F$2)))</f>
        <v/>
      </c>
    </row>
    <row r="59">
      <c r="A59" s="3" t="n"/>
      <c r="C59" s="4" t="n"/>
      <c r="D59" s="4" t="n"/>
      <c r="E59" s="4">
        <f>IF(B59="","",B59*C59)</f>
        <v/>
      </c>
      <c r="F59" s="4">
        <f>IF(B59="","",B59*D59)</f>
        <v/>
      </c>
      <c r="G59" s="4">
        <f>IF(E59="","",ROUNDDOWN(E59*$B$2+$H$2,0))</f>
        <v/>
      </c>
      <c r="H59" s="4">
        <f>IF(F59="","",ROUNDDOWN(F59*$D$2+$H$2,0))</f>
        <v/>
      </c>
      <c r="I59" s="4">
        <f>IF(F59="","",ROUNDDOWN(F59*$F$2,0))</f>
        <v/>
      </c>
      <c r="J59" s="4">
        <f>IF(G59="","",G59+H59+I59)</f>
        <v/>
      </c>
      <c r="K59" s="4">
        <f>IF(J59="","",F59-E59-J59)</f>
        <v/>
      </c>
      <c r="L59" s="5">
        <f>IF(E59="","",K59/E59)</f>
        <v/>
      </c>
      <c r="M59" s="4">
        <f>IF(B59="","",((B59*C59)*(1+$B$2)+2*$H$2)/(B59*(1-$D$2-$F$2)))</f>
        <v/>
      </c>
    </row>
    <row r="60">
      <c r="A60" s="3" t="n"/>
      <c r="C60" s="4" t="n"/>
      <c r="D60" s="4" t="n"/>
      <c r="E60" s="4">
        <f>IF(B60="","",B60*C60)</f>
        <v/>
      </c>
      <c r="F60" s="4">
        <f>IF(B60="","",B60*D60)</f>
        <v/>
      </c>
      <c r="G60" s="4">
        <f>IF(E60="","",ROUNDDOWN(E60*$B$2+$H$2,0))</f>
        <v/>
      </c>
      <c r="H60" s="4">
        <f>IF(F60="","",ROUNDDOWN(F60*$D$2+$H$2,0))</f>
        <v/>
      </c>
      <c r="I60" s="4">
        <f>IF(F60="","",ROUNDDOWN(F60*$F$2,0))</f>
        <v/>
      </c>
      <c r="J60" s="4">
        <f>IF(G60="","",G60+H60+I60)</f>
        <v/>
      </c>
      <c r="K60" s="4">
        <f>IF(J60="","",F60-E60-J60)</f>
        <v/>
      </c>
      <c r="L60" s="5">
        <f>IF(E60="","",K60/E60)</f>
        <v/>
      </c>
      <c r="M60" s="4">
        <f>IF(B60="","",((B60*C60)*(1+$B$2)+2*$H$2)/(B60*(1-$D$2-$F$2)))</f>
        <v/>
      </c>
    </row>
    <row r="61">
      <c r="A61" s="3" t="n"/>
      <c r="C61" s="4" t="n"/>
      <c r="D61" s="4" t="n"/>
      <c r="E61" s="4">
        <f>IF(B61="","",B61*C61)</f>
        <v/>
      </c>
      <c r="F61" s="4">
        <f>IF(B61="","",B61*D61)</f>
        <v/>
      </c>
      <c r="G61" s="4">
        <f>IF(E61="","",ROUNDDOWN(E61*$B$2+$H$2,0))</f>
        <v/>
      </c>
      <c r="H61" s="4">
        <f>IF(F61="","",ROUNDDOWN(F61*$D$2+$H$2,0))</f>
        <v/>
      </c>
      <c r="I61" s="4">
        <f>IF(F61="","",ROUNDDOWN(F61*$F$2,0))</f>
        <v/>
      </c>
      <c r="J61" s="4">
        <f>IF(G61="","",G61+H61+I61)</f>
        <v/>
      </c>
      <c r="K61" s="4">
        <f>IF(J61="","",F61-E61-J61)</f>
        <v/>
      </c>
      <c r="L61" s="5">
        <f>IF(E61="","",K61/E61)</f>
        <v/>
      </c>
      <c r="M61" s="4">
        <f>IF(B61="","",((B61*C61)*(1+$B$2)+2*$H$2)/(B61*(1-$D$2-$F$2)))</f>
        <v/>
      </c>
    </row>
    <row r="62">
      <c r="A62" s="3" t="n"/>
      <c r="C62" s="4" t="n"/>
      <c r="D62" s="4" t="n"/>
      <c r="E62" s="4">
        <f>IF(B62="","",B62*C62)</f>
        <v/>
      </c>
      <c r="F62" s="4">
        <f>IF(B62="","",B62*D62)</f>
        <v/>
      </c>
      <c r="G62" s="4">
        <f>IF(E62="","",ROUNDDOWN(E62*$B$2+$H$2,0))</f>
        <v/>
      </c>
      <c r="H62" s="4">
        <f>IF(F62="","",ROUNDDOWN(F62*$D$2+$H$2,0))</f>
        <v/>
      </c>
      <c r="I62" s="4">
        <f>IF(F62="","",ROUNDDOWN(F62*$F$2,0))</f>
        <v/>
      </c>
      <c r="J62" s="4">
        <f>IF(G62="","",G62+H62+I62)</f>
        <v/>
      </c>
      <c r="K62" s="4">
        <f>IF(J62="","",F62-E62-J62)</f>
        <v/>
      </c>
      <c r="L62" s="5">
        <f>IF(E62="","",K62/E62)</f>
        <v/>
      </c>
      <c r="M62" s="4">
        <f>IF(B62="","",((B62*C62)*(1+$B$2)+2*$H$2)/(B62*(1-$D$2-$F$2)))</f>
        <v/>
      </c>
    </row>
    <row r="63">
      <c r="A63" s="3" t="n"/>
      <c r="C63" s="4" t="n"/>
      <c r="D63" s="4" t="n"/>
      <c r="E63" s="4">
        <f>IF(B63="","",B63*C63)</f>
        <v/>
      </c>
      <c r="F63" s="4">
        <f>IF(B63="","",B63*D63)</f>
        <v/>
      </c>
      <c r="G63" s="4">
        <f>IF(E63="","",ROUNDDOWN(E63*$B$2+$H$2,0))</f>
        <v/>
      </c>
      <c r="H63" s="4">
        <f>IF(F63="","",ROUNDDOWN(F63*$D$2+$H$2,0))</f>
        <v/>
      </c>
      <c r="I63" s="4">
        <f>IF(F63="","",ROUNDDOWN(F63*$F$2,0))</f>
        <v/>
      </c>
      <c r="J63" s="4">
        <f>IF(G63="","",G63+H63+I63)</f>
        <v/>
      </c>
      <c r="K63" s="4">
        <f>IF(J63="","",F63-E63-J63)</f>
        <v/>
      </c>
      <c r="L63" s="5">
        <f>IF(E63="","",K63/E63)</f>
        <v/>
      </c>
      <c r="M63" s="4">
        <f>IF(B63="","",((B63*C63)*(1+$B$2)+2*$H$2)/(B63*(1-$D$2-$F$2)))</f>
        <v/>
      </c>
    </row>
    <row r="64">
      <c r="A64" s="3" t="n"/>
      <c r="C64" s="4" t="n"/>
      <c r="D64" s="4" t="n"/>
      <c r="E64" s="4">
        <f>IF(B64="","",B64*C64)</f>
        <v/>
      </c>
      <c r="F64" s="4">
        <f>IF(B64="","",B64*D64)</f>
        <v/>
      </c>
      <c r="G64" s="4">
        <f>IF(E64="","",ROUNDDOWN(E64*$B$2+$H$2,0))</f>
        <v/>
      </c>
      <c r="H64" s="4">
        <f>IF(F64="","",ROUNDDOWN(F64*$D$2+$H$2,0))</f>
        <v/>
      </c>
      <c r="I64" s="4">
        <f>IF(F64="","",ROUNDDOWN(F64*$F$2,0))</f>
        <v/>
      </c>
      <c r="J64" s="4">
        <f>IF(G64="","",G64+H64+I64)</f>
        <v/>
      </c>
      <c r="K64" s="4">
        <f>IF(J64="","",F64-E64-J64)</f>
        <v/>
      </c>
      <c r="L64" s="5">
        <f>IF(E64="","",K64/E64)</f>
        <v/>
      </c>
      <c r="M64" s="4">
        <f>IF(B64="","",((B64*C64)*(1+$B$2)+2*$H$2)/(B64*(1-$D$2-$F$2)))</f>
        <v/>
      </c>
    </row>
    <row r="65">
      <c r="A65" s="3" t="n"/>
      <c r="C65" s="4" t="n"/>
      <c r="D65" s="4" t="n"/>
      <c r="E65" s="4">
        <f>IF(B65="","",B65*C65)</f>
        <v/>
      </c>
      <c r="F65" s="4">
        <f>IF(B65="","",B65*D65)</f>
        <v/>
      </c>
      <c r="G65" s="4">
        <f>IF(E65="","",ROUNDDOWN(E65*$B$2+$H$2,0))</f>
        <v/>
      </c>
      <c r="H65" s="4">
        <f>IF(F65="","",ROUNDDOWN(F65*$D$2+$H$2,0))</f>
        <v/>
      </c>
      <c r="I65" s="4">
        <f>IF(F65="","",ROUNDDOWN(F65*$F$2,0))</f>
        <v/>
      </c>
      <c r="J65" s="4">
        <f>IF(G65="","",G65+H65+I65)</f>
        <v/>
      </c>
      <c r="K65" s="4">
        <f>IF(J65="","",F65-E65-J65)</f>
        <v/>
      </c>
      <c r="L65" s="5">
        <f>IF(E65="","",K65/E65)</f>
        <v/>
      </c>
      <c r="M65" s="4">
        <f>IF(B65="","",((B65*C65)*(1+$B$2)+2*$H$2)/(B65*(1-$D$2-$F$2)))</f>
        <v/>
      </c>
    </row>
    <row r="66">
      <c r="A66" s="3" t="n"/>
      <c r="C66" s="4" t="n"/>
      <c r="D66" s="4" t="n"/>
      <c r="E66" s="4">
        <f>IF(B66="","",B66*C66)</f>
        <v/>
      </c>
      <c r="F66" s="4">
        <f>IF(B66="","",B66*D66)</f>
        <v/>
      </c>
      <c r="G66" s="4">
        <f>IF(E66="","",ROUNDDOWN(E66*$B$2+$H$2,0))</f>
        <v/>
      </c>
      <c r="H66" s="4">
        <f>IF(F66="","",ROUNDDOWN(F66*$D$2+$H$2,0))</f>
        <v/>
      </c>
      <c r="I66" s="4">
        <f>IF(F66="","",ROUNDDOWN(F66*$F$2,0))</f>
        <v/>
      </c>
      <c r="J66" s="4">
        <f>IF(G66="","",G66+H66+I66)</f>
        <v/>
      </c>
      <c r="K66" s="4">
        <f>IF(J66="","",F66-E66-J66)</f>
        <v/>
      </c>
      <c r="L66" s="5">
        <f>IF(E66="","",K66/E66)</f>
        <v/>
      </c>
      <c r="M66" s="4">
        <f>IF(B66="","",((B66*C66)*(1+$B$2)+2*$H$2)/(B66*(1-$D$2-$F$2)))</f>
        <v/>
      </c>
    </row>
    <row r="67">
      <c r="A67" s="3" t="n"/>
      <c r="C67" s="4" t="n"/>
      <c r="D67" s="4" t="n"/>
      <c r="E67" s="4">
        <f>IF(B67="","",B67*C67)</f>
        <v/>
      </c>
      <c r="F67" s="4">
        <f>IF(B67="","",B67*D67)</f>
        <v/>
      </c>
      <c r="G67" s="4">
        <f>IF(E67="","",ROUNDDOWN(E67*$B$2+$H$2,0))</f>
        <v/>
      </c>
      <c r="H67" s="4">
        <f>IF(F67="","",ROUNDDOWN(F67*$D$2+$H$2,0))</f>
        <v/>
      </c>
      <c r="I67" s="4">
        <f>IF(F67="","",ROUNDDOWN(F67*$F$2,0))</f>
        <v/>
      </c>
      <c r="J67" s="4">
        <f>IF(G67="","",G67+H67+I67)</f>
        <v/>
      </c>
      <c r="K67" s="4">
        <f>IF(J67="","",F67-E67-J67)</f>
        <v/>
      </c>
      <c r="L67" s="5">
        <f>IF(E67="","",K67/E67)</f>
        <v/>
      </c>
      <c r="M67" s="4">
        <f>IF(B67="","",((B67*C67)*(1+$B$2)+2*$H$2)/(B67*(1-$D$2-$F$2)))</f>
        <v/>
      </c>
    </row>
    <row r="68">
      <c r="A68" s="3" t="n"/>
      <c r="C68" s="4" t="n"/>
      <c r="D68" s="4" t="n"/>
      <c r="E68" s="4">
        <f>IF(B68="","",B68*C68)</f>
        <v/>
      </c>
      <c r="F68" s="4">
        <f>IF(B68="","",B68*D68)</f>
        <v/>
      </c>
      <c r="G68" s="4">
        <f>IF(E68="","",ROUNDDOWN(E68*$B$2+$H$2,0))</f>
        <v/>
      </c>
      <c r="H68" s="4">
        <f>IF(F68="","",ROUNDDOWN(F68*$D$2+$H$2,0))</f>
        <v/>
      </c>
      <c r="I68" s="4">
        <f>IF(F68="","",ROUNDDOWN(F68*$F$2,0))</f>
        <v/>
      </c>
      <c r="J68" s="4">
        <f>IF(G68="","",G68+H68+I68)</f>
        <v/>
      </c>
      <c r="K68" s="4">
        <f>IF(J68="","",F68-E68-J68)</f>
        <v/>
      </c>
      <c r="L68" s="5">
        <f>IF(E68="","",K68/E68)</f>
        <v/>
      </c>
      <c r="M68" s="4">
        <f>IF(B68="","",((B68*C68)*(1+$B$2)+2*$H$2)/(B68*(1-$D$2-$F$2)))</f>
        <v/>
      </c>
    </row>
    <row r="69">
      <c r="A69" s="3" t="n"/>
      <c r="C69" s="4" t="n"/>
      <c r="D69" s="4" t="n"/>
      <c r="E69" s="4">
        <f>IF(B69="","",B69*C69)</f>
        <v/>
      </c>
      <c r="F69" s="4">
        <f>IF(B69="","",B69*D69)</f>
        <v/>
      </c>
      <c r="G69" s="4">
        <f>IF(E69="","",ROUNDDOWN(E69*$B$2+$H$2,0))</f>
        <v/>
      </c>
      <c r="H69" s="4">
        <f>IF(F69="","",ROUNDDOWN(F69*$D$2+$H$2,0))</f>
        <v/>
      </c>
      <c r="I69" s="4">
        <f>IF(F69="","",ROUNDDOWN(F69*$F$2,0))</f>
        <v/>
      </c>
      <c r="J69" s="4">
        <f>IF(G69="","",G69+H69+I69)</f>
        <v/>
      </c>
      <c r="K69" s="4">
        <f>IF(J69="","",F69-E69-J69)</f>
        <v/>
      </c>
      <c r="L69" s="5">
        <f>IF(E69="","",K69/E69)</f>
        <v/>
      </c>
      <c r="M69" s="4">
        <f>IF(B69="","",((B69*C69)*(1+$B$2)+2*$H$2)/(B69*(1-$D$2-$F$2)))</f>
        <v/>
      </c>
    </row>
    <row r="70">
      <c r="A70" s="3" t="n"/>
      <c r="C70" s="4" t="n"/>
      <c r="D70" s="4" t="n"/>
      <c r="E70" s="4">
        <f>IF(B70="","",B70*C70)</f>
        <v/>
      </c>
      <c r="F70" s="4">
        <f>IF(B70="","",B70*D70)</f>
        <v/>
      </c>
      <c r="G70" s="4">
        <f>IF(E70="","",ROUNDDOWN(E70*$B$2+$H$2,0))</f>
        <v/>
      </c>
      <c r="H70" s="4">
        <f>IF(F70="","",ROUNDDOWN(F70*$D$2+$H$2,0))</f>
        <v/>
      </c>
      <c r="I70" s="4">
        <f>IF(F70="","",ROUNDDOWN(F70*$F$2,0))</f>
        <v/>
      </c>
      <c r="J70" s="4">
        <f>IF(G70="","",G70+H70+I70)</f>
        <v/>
      </c>
      <c r="K70" s="4">
        <f>IF(J70="","",F70-E70-J70)</f>
        <v/>
      </c>
      <c r="L70" s="5">
        <f>IF(E70="","",K70/E70)</f>
        <v/>
      </c>
      <c r="M70" s="4">
        <f>IF(B70="","",((B70*C70)*(1+$B$2)+2*$H$2)/(B70*(1-$D$2-$F$2)))</f>
        <v/>
      </c>
    </row>
    <row r="71">
      <c r="A71" s="3" t="n"/>
      <c r="C71" s="4" t="n"/>
      <c r="D71" s="4" t="n"/>
      <c r="E71" s="4">
        <f>IF(B71="","",B71*C71)</f>
        <v/>
      </c>
      <c r="F71" s="4">
        <f>IF(B71="","",B71*D71)</f>
        <v/>
      </c>
      <c r="G71" s="4">
        <f>IF(E71="","",ROUNDDOWN(E71*$B$2+$H$2,0))</f>
        <v/>
      </c>
      <c r="H71" s="4">
        <f>IF(F71="","",ROUNDDOWN(F71*$D$2+$H$2,0))</f>
        <v/>
      </c>
      <c r="I71" s="4">
        <f>IF(F71="","",ROUNDDOWN(F71*$F$2,0))</f>
        <v/>
      </c>
      <c r="J71" s="4">
        <f>IF(G71="","",G71+H71+I71)</f>
        <v/>
      </c>
      <c r="K71" s="4">
        <f>IF(J71="","",F71-E71-J71)</f>
        <v/>
      </c>
      <c r="L71" s="5">
        <f>IF(E71="","",K71/E71)</f>
        <v/>
      </c>
      <c r="M71" s="4">
        <f>IF(B71="","",((B71*C71)*(1+$B$2)+2*$H$2)/(B71*(1-$D$2-$F$2)))</f>
        <v/>
      </c>
    </row>
    <row r="72">
      <c r="A72" s="3" t="n"/>
      <c r="C72" s="4" t="n"/>
      <c r="D72" s="4" t="n"/>
      <c r="E72" s="4">
        <f>IF(B72="","",B72*C72)</f>
        <v/>
      </c>
      <c r="F72" s="4">
        <f>IF(B72="","",B72*D72)</f>
        <v/>
      </c>
      <c r="G72" s="4">
        <f>IF(E72="","",ROUNDDOWN(E72*$B$2+$H$2,0))</f>
        <v/>
      </c>
      <c r="H72" s="4">
        <f>IF(F72="","",ROUNDDOWN(F72*$D$2+$H$2,0))</f>
        <v/>
      </c>
      <c r="I72" s="4">
        <f>IF(F72="","",ROUNDDOWN(F72*$F$2,0))</f>
        <v/>
      </c>
      <c r="J72" s="4">
        <f>IF(G72="","",G72+H72+I72)</f>
        <v/>
      </c>
      <c r="K72" s="4">
        <f>IF(J72="","",F72-E72-J72)</f>
        <v/>
      </c>
      <c r="L72" s="5">
        <f>IF(E72="","",K72/E72)</f>
        <v/>
      </c>
      <c r="M72" s="4">
        <f>IF(B72="","",((B72*C72)*(1+$B$2)+2*$H$2)/(B72*(1-$D$2-$F$2)))</f>
        <v/>
      </c>
    </row>
    <row r="73">
      <c r="A73" s="3" t="n"/>
      <c r="C73" s="4" t="n"/>
      <c r="D73" s="4" t="n"/>
      <c r="E73" s="4">
        <f>IF(B73="","",B73*C73)</f>
        <v/>
      </c>
      <c r="F73" s="4">
        <f>IF(B73="","",B73*D73)</f>
        <v/>
      </c>
      <c r="G73" s="4">
        <f>IF(E73="","",ROUNDDOWN(E73*$B$2+$H$2,0))</f>
        <v/>
      </c>
      <c r="H73" s="4">
        <f>IF(F73="","",ROUNDDOWN(F73*$D$2+$H$2,0))</f>
        <v/>
      </c>
      <c r="I73" s="4">
        <f>IF(F73="","",ROUNDDOWN(F73*$F$2,0))</f>
        <v/>
      </c>
      <c r="J73" s="4">
        <f>IF(G73="","",G73+H73+I73)</f>
        <v/>
      </c>
      <c r="K73" s="4">
        <f>IF(J73="","",F73-E73-J73)</f>
        <v/>
      </c>
      <c r="L73" s="5">
        <f>IF(E73="","",K73/E73)</f>
        <v/>
      </c>
      <c r="M73" s="4">
        <f>IF(B73="","",((B73*C73)*(1+$B$2)+2*$H$2)/(B73*(1-$D$2-$F$2)))</f>
        <v/>
      </c>
    </row>
    <row r="74">
      <c r="A74" s="3" t="n"/>
      <c r="C74" s="4" t="n"/>
      <c r="D74" s="4" t="n"/>
      <c r="E74" s="4">
        <f>IF(B74="","",B74*C74)</f>
        <v/>
      </c>
      <c r="F74" s="4">
        <f>IF(B74="","",B74*D74)</f>
        <v/>
      </c>
      <c r="G74" s="4">
        <f>IF(E74="","",ROUNDDOWN(E74*$B$2+$H$2,0))</f>
        <v/>
      </c>
      <c r="H74" s="4">
        <f>IF(F74="","",ROUNDDOWN(F74*$D$2+$H$2,0))</f>
        <v/>
      </c>
      <c r="I74" s="4">
        <f>IF(F74="","",ROUNDDOWN(F74*$F$2,0))</f>
        <v/>
      </c>
      <c r="J74" s="4">
        <f>IF(G74="","",G74+H74+I74)</f>
        <v/>
      </c>
      <c r="K74" s="4">
        <f>IF(J74="","",F74-E74-J74)</f>
        <v/>
      </c>
      <c r="L74" s="5">
        <f>IF(E74="","",K74/E74)</f>
        <v/>
      </c>
      <c r="M74" s="4">
        <f>IF(B74="","",((B74*C74)*(1+$B$2)+2*$H$2)/(B74*(1-$D$2-$F$2)))</f>
        <v/>
      </c>
    </row>
    <row r="75">
      <c r="A75" s="3" t="n"/>
      <c r="C75" s="4" t="n"/>
      <c r="D75" s="4" t="n"/>
      <c r="E75" s="4">
        <f>IF(B75="","",B75*C75)</f>
        <v/>
      </c>
      <c r="F75" s="4">
        <f>IF(B75="","",B75*D75)</f>
        <v/>
      </c>
      <c r="G75" s="4">
        <f>IF(E75="","",ROUNDDOWN(E75*$B$2+$H$2,0))</f>
        <v/>
      </c>
      <c r="H75" s="4">
        <f>IF(F75="","",ROUNDDOWN(F75*$D$2+$H$2,0))</f>
        <v/>
      </c>
      <c r="I75" s="4">
        <f>IF(F75="","",ROUNDDOWN(F75*$F$2,0))</f>
        <v/>
      </c>
      <c r="J75" s="4">
        <f>IF(G75="","",G75+H75+I75)</f>
        <v/>
      </c>
      <c r="K75" s="4">
        <f>IF(J75="","",F75-E75-J75)</f>
        <v/>
      </c>
      <c r="L75" s="5">
        <f>IF(E75="","",K75/E75)</f>
        <v/>
      </c>
      <c r="M75" s="4">
        <f>IF(B75="","",((B75*C75)*(1+$B$2)+2*$H$2)/(B75*(1-$D$2-$F$2)))</f>
        <v/>
      </c>
    </row>
    <row r="76">
      <c r="A76" s="3" t="n"/>
      <c r="C76" s="4" t="n"/>
      <c r="D76" s="4" t="n"/>
      <c r="E76" s="4">
        <f>IF(B76="","",B76*C76)</f>
        <v/>
      </c>
      <c r="F76" s="4">
        <f>IF(B76="","",B76*D76)</f>
        <v/>
      </c>
      <c r="G76" s="4">
        <f>IF(E76="","",ROUNDDOWN(E76*$B$2+$H$2,0))</f>
        <v/>
      </c>
      <c r="H76" s="4">
        <f>IF(F76="","",ROUNDDOWN(F76*$D$2+$H$2,0))</f>
        <v/>
      </c>
      <c r="I76" s="4">
        <f>IF(F76="","",ROUNDDOWN(F76*$F$2,0))</f>
        <v/>
      </c>
      <c r="J76" s="4">
        <f>IF(G76="","",G76+H76+I76)</f>
        <v/>
      </c>
      <c r="K76" s="4">
        <f>IF(J76="","",F76-E76-J76)</f>
        <v/>
      </c>
      <c r="L76" s="5">
        <f>IF(E76="","",K76/E76)</f>
        <v/>
      </c>
      <c r="M76" s="4">
        <f>IF(B76="","",((B76*C76)*(1+$B$2)+2*$H$2)/(B76*(1-$D$2-$F$2)))</f>
        <v/>
      </c>
    </row>
    <row r="77">
      <c r="A77" s="3" t="n"/>
      <c r="C77" s="4" t="n"/>
      <c r="D77" s="4" t="n"/>
      <c r="E77" s="4">
        <f>IF(B77="","",B77*C77)</f>
        <v/>
      </c>
      <c r="F77" s="4">
        <f>IF(B77="","",B77*D77)</f>
        <v/>
      </c>
      <c r="G77" s="4">
        <f>IF(E77="","",ROUNDDOWN(E77*$B$2+$H$2,0))</f>
        <v/>
      </c>
      <c r="H77" s="4">
        <f>IF(F77="","",ROUNDDOWN(F77*$D$2+$H$2,0))</f>
        <v/>
      </c>
      <c r="I77" s="4">
        <f>IF(F77="","",ROUNDDOWN(F77*$F$2,0))</f>
        <v/>
      </c>
      <c r="J77" s="4">
        <f>IF(G77="","",G77+H77+I77)</f>
        <v/>
      </c>
      <c r="K77" s="4">
        <f>IF(J77="","",F77-E77-J77)</f>
        <v/>
      </c>
      <c r="L77" s="5">
        <f>IF(E77="","",K77/E77)</f>
        <v/>
      </c>
      <c r="M77" s="4">
        <f>IF(B77="","",((B77*C77)*(1+$B$2)+2*$H$2)/(B77*(1-$D$2-$F$2)))</f>
        <v/>
      </c>
    </row>
    <row r="78">
      <c r="A78" s="3" t="n"/>
      <c r="C78" s="4" t="n"/>
      <c r="D78" s="4" t="n"/>
      <c r="E78" s="4">
        <f>IF(B78="","",B78*C78)</f>
        <v/>
      </c>
      <c r="F78" s="4">
        <f>IF(B78="","",B78*D78)</f>
        <v/>
      </c>
      <c r="G78" s="4">
        <f>IF(E78="","",ROUNDDOWN(E78*$B$2+$H$2,0))</f>
        <v/>
      </c>
      <c r="H78" s="4">
        <f>IF(F78="","",ROUNDDOWN(F78*$D$2+$H$2,0))</f>
        <v/>
      </c>
      <c r="I78" s="4">
        <f>IF(F78="","",ROUNDDOWN(F78*$F$2,0))</f>
        <v/>
      </c>
      <c r="J78" s="4">
        <f>IF(G78="","",G78+H78+I78)</f>
        <v/>
      </c>
      <c r="K78" s="4">
        <f>IF(J78="","",F78-E78-J78)</f>
        <v/>
      </c>
      <c r="L78" s="5">
        <f>IF(E78="","",K78/E78)</f>
        <v/>
      </c>
      <c r="M78" s="4">
        <f>IF(B78="","",((B78*C78)*(1+$B$2)+2*$H$2)/(B78*(1-$D$2-$F$2)))</f>
        <v/>
      </c>
    </row>
    <row r="79">
      <c r="A79" s="3" t="n"/>
      <c r="C79" s="4" t="n"/>
      <c r="D79" s="4" t="n"/>
      <c r="E79" s="4">
        <f>IF(B79="","",B79*C79)</f>
        <v/>
      </c>
      <c r="F79" s="4">
        <f>IF(B79="","",B79*D79)</f>
        <v/>
      </c>
      <c r="G79" s="4">
        <f>IF(E79="","",ROUNDDOWN(E79*$B$2+$H$2,0))</f>
        <v/>
      </c>
      <c r="H79" s="4">
        <f>IF(F79="","",ROUNDDOWN(F79*$D$2+$H$2,0))</f>
        <v/>
      </c>
      <c r="I79" s="4">
        <f>IF(F79="","",ROUNDDOWN(F79*$F$2,0))</f>
        <v/>
      </c>
      <c r="J79" s="4">
        <f>IF(G79="","",G79+H79+I79)</f>
        <v/>
      </c>
      <c r="K79" s="4">
        <f>IF(J79="","",F79-E79-J79)</f>
        <v/>
      </c>
      <c r="L79" s="5">
        <f>IF(E79="","",K79/E79)</f>
        <v/>
      </c>
      <c r="M79" s="4">
        <f>IF(B79="","",((B79*C79)*(1+$B$2)+2*$H$2)/(B79*(1-$D$2-$F$2)))</f>
        <v/>
      </c>
    </row>
    <row r="80">
      <c r="A80" s="3" t="n"/>
      <c r="C80" s="4" t="n"/>
      <c r="D80" s="4" t="n"/>
      <c r="E80" s="4">
        <f>IF(B80="","",B80*C80)</f>
        <v/>
      </c>
      <c r="F80" s="4">
        <f>IF(B80="","",B80*D80)</f>
        <v/>
      </c>
      <c r="G80" s="4">
        <f>IF(E80="","",ROUNDDOWN(E80*$B$2+$H$2,0))</f>
        <v/>
      </c>
      <c r="H80" s="4">
        <f>IF(F80="","",ROUNDDOWN(F80*$D$2+$H$2,0))</f>
        <v/>
      </c>
      <c r="I80" s="4">
        <f>IF(F80="","",ROUNDDOWN(F80*$F$2,0))</f>
        <v/>
      </c>
      <c r="J80" s="4">
        <f>IF(G80="","",G80+H80+I80)</f>
        <v/>
      </c>
      <c r="K80" s="4">
        <f>IF(J80="","",F80-E80-J80)</f>
        <v/>
      </c>
      <c r="L80" s="5">
        <f>IF(E80="","",K80/E80)</f>
        <v/>
      </c>
      <c r="M80" s="4">
        <f>IF(B80="","",((B80*C80)*(1+$B$2)+2*$H$2)/(B80*(1-$D$2-$F$2)))</f>
        <v/>
      </c>
    </row>
    <row r="81">
      <c r="A81" s="3" t="n"/>
      <c r="C81" s="4" t="n"/>
      <c r="D81" s="4" t="n"/>
      <c r="E81" s="4">
        <f>IF(B81="","",B81*C81)</f>
        <v/>
      </c>
      <c r="F81" s="4">
        <f>IF(B81="","",B81*D81)</f>
        <v/>
      </c>
      <c r="G81" s="4">
        <f>IF(E81="","",ROUNDDOWN(E81*$B$2+$H$2,0))</f>
        <v/>
      </c>
      <c r="H81" s="4">
        <f>IF(F81="","",ROUNDDOWN(F81*$D$2+$H$2,0))</f>
        <v/>
      </c>
      <c r="I81" s="4">
        <f>IF(F81="","",ROUNDDOWN(F81*$F$2,0))</f>
        <v/>
      </c>
      <c r="J81" s="4">
        <f>IF(G81="","",G81+H81+I81)</f>
        <v/>
      </c>
      <c r="K81" s="4">
        <f>IF(J81="","",F81-E81-J81)</f>
        <v/>
      </c>
      <c r="L81" s="5">
        <f>IF(E81="","",K81/E81)</f>
        <v/>
      </c>
      <c r="M81" s="4">
        <f>IF(B81="","",((B81*C81)*(1+$B$2)+2*$H$2)/(B81*(1-$D$2-$F$2)))</f>
        <v/>
      </c>
    </row>
    <row r="82">
      <c r="A82" s="3" t="n"/>
      <c r="C82" s="4" t="n"/>
      <c r="D82" s="4" t="n"/>
      <c r="E82" s="4">
        <f>IF(B82="","",B82*C82)</f>
        <v/>
      </c>
      <c r="F82" s="4">
        <f>IF(B82="","",B82*D82)</f>
        <v/>
      </c>
      <c r="G82" s="4">
        <f>IF(E82="","",ROUNDDOWN(E82*$B$2+$H$2,0))</f>
        <v/>
      </c>
      <c r="H82" s="4">
        <f>IF(F82="","",ROUNDDOWN(F82*$D$2+$H$2,0))</f>
        <v/>
      </c>
      <c r="I82" s="4">
        <f>IF(F82="","",ROUNDDOWN(F82*$F$2,0))</f>
        <v/>
      </c>
      <c r="J82" s="4">
        <f>IF(G82="","",G82+H82+I82)</f>
        <v/>
      </c>
      <c r="K82" s="4">
        <f>IF(J82="","",F82-E82-J82)</f>
        <v/>
      </c>
      <c r="L82" s="5">
        <f>IF(E82="","",K82/E82)</f>
        <v/>
      </c>
      <c r="M82" s="4">
        <f>IF(B82="","",((B82*C82)*(1+$B$2)+2*$H$2)/(B82*(1-$D$2-$F$2)))</f>
        <v/>
      </c>
    </row>
    <row r="83">
      <c r="A83" s="3" t="n"/>
      <c r="C83" s="4" t="n"/>
      <c r="D83" s="4" t="n"/>
      <c r="E83" s="4">
        <f>IF(B83="","",B83*C83)</f>
        <v/>
      </c>
      <c r="F83" s="4">
        <f>IF(B83="","",B83*D83)</f>
        <v/>
      </c>
      <c r="G83" s="4">
        <f>IF(E83="","",ROUNDDOWN(E83*$B$2+$H$2,0))</f>
        <v/>
      </c>
      <c r="H83" s="4">
        <f>IF(F83="","",ROUNDDOWN(F83*$D$2+$H$2,0))</f>
        <v/>
      </c>
      <c r="I83" s="4">
        <f>IF(F83="","",ROUNDDOWN(F83*$F$2,0))</f>
        <v/>
      </c>
      <c r="J83" s="4">
        <f>IF(G83="","",G83+H83+I83)</f>
        <v/>
      </c>
      <c r="K83" s="4">
        <f>IF(J83="","",F83-E83-J83)</f>
        <v/>
      </c>
      <c r="L83" s="5">
        <f>IF(E83="","",K83/E83)</f>
        <v/>
      </c>
      <c r="M83" s="4">
        <f>IF(B83="","",((B83*C83)*(1+$B$2)+2*$H$2)/(B83*(1-$D$2-$F$2)))</f>
        <v/>
      </c>
    </row>
    <row r="84">
      <c r="A84" s="3" t="n"/>
      <c r="C84" s="4" t="n"/>
      <c r="D84" s="4" t="n"/>
      <c r="E84" s="4">
        <f>IF(B84="","",B84*C84)</f>
        <v/>
      </c>
      <c r="F84" s="4">
        <f>IF(B84="","",B84*D84)</f>
        <v/>
      </c>
      <c r="G84" s="4">
        <f>IF(E84="","",ROUNDDOWN(E84*$B$2+$H$2,0))</f>
        <v/>
      </c>
      <c r="H84" s="4">
        <f>IF(F84="","",ROUNDDOWN(F84*$D$2+$H$2,0))</f>
        <v/>
      </c>
      <c r="I84" s="4">
        <f>IF(F84="","",ROUNDDOWN(F84*$F$2,0))</f>
        <v/>
      </c>
      <c r="J84" s="4">
        <f>IF(G84="","",G84+H84+I84)</f>
        <v/>
      </c>
      <c r="K84" s="4">
        <f>IF(J84="","",F84-E84-J84)</f>
        <v/>
      </c>
      <c r="L84" s="5">
        <f>IF(E84="","",K84/E84)</f>
        <v/>
      </c>
      <c r="M84" s="4">
        <f>IF(B84="","",((B84*C84)*(1+$B$2)+2*$H$2)/(B84*(1-$D$2-$F$2)))</f>
        <v/>
      </c>
    </row>
    <row r="85">
      <c r="A85" s="3" t="n"/>
      <c r="C85" s="4" t="n"/>
      <c r="D85" s="4" t="n"/>
      <c r="E85" s="4">
        <f>IF(B85="","",B85*C85)</f>
        <v/>
      </c>
      <c r="F85" s="4">
        <f>IF(B85="","",B85*D85)</f>
        <v/>
      </c>
      <c r="G85" s="4">
        <f>IF(E85="","",ROUNDDOWN(E85*$B$2+$H$2,0))</f>
        <v/>
      </c>
      <c r="H85" s="4">
        <f>IF(F85="","",ROUNDDOWN(F85*$D$2+$H$2,0))</f>
        <v/>
      </c>
      <c r="I85" s="4">
        <f>IF(F85="","",ROUNDDOWN(F85*$F$2,0))</f>
        <v/>
      </c>
      <c r="J85" s="4">
        <f>IF(G85="","",G85+H85+I85)</f>
        <v/>
      </c>
      <c r="K85" s="4">
        <f>IF(J85="","",F85-E85-J85)</f>
        <v/>
      </c>
      <c r="L85" s="5">
        <f>IF(E85="","",K85/E85)</f>
        <v/>
      </c>
      <c r="M85" s="4">
        <f>IF(B85="","",((B85*C85)*(1+$B$2)+2*$H$2)/(B85*(1-$D$2-$F$2)))</f>
        <v/>
      </c>
    </row>
    <row r="86">
      <c r="A86" s="3" t="n"/>
      <c r="C86" s="4" t="n"/>
      <c r="D86" s="4" t="n"/>
      <c r="E86" s="4">
        <f>IF(B86="","",B86*C86)</f>
        <v/>
      </c>
      <c r="F86" s="4">
        <f>IF(B86="","",B86*D86)</f>
        <v/>
      </c>
      <c r="G86" s="4">
        <f>IF(E86="","",ROUNDDOWN(E86*$B$2+$H$2,0))</f>
        <v/>
      </c>
      <c r="H86" s="4">
        <f>IF(F86="","",ROUNDDOWN(F86*$D$2+$H$2,0))</f>
        <v/>
      </c>
      <c r="I86" s="4">
        <f>IF(F86="","",ROUNDDOWN(F86*$F$2,0))</f>
        <v/>
      </c>
      <c r="J86" s="4">
        <f>IF(G86="","",G86+H86+I86)</f>
        <v/>
      </c>
      <c r="K86" s="4">
        <f>IF(J86="","",F86-E86-J86)</f>
        <v/>
      </c>
      <c r="L86" s="5">
        <f>IF(E86="","",K86/E86)</f>
        <v/>
      </c>
      <c r="M86" s="4">
        <f>IF(B86="","",((B86*C86)*(1+$B$2)+2*$H$2)/(B86*(1-$D$2-$F$2)))</f>
        <v/>
      </c>
    </row>
    <row r="87">
      <c r="A87" s="3" t="n"/>
      <c r="C87" s="4" t="n"/>
      <c r="D87" s="4" t="n"/>
      <c r="E87" s="4">
        <f>IF(B87="","",B87*C87)</f>
        <v/>
      </c>
      <c r="F87" s="4">
        <f>IF(B87="","",B87*D87)</f>
        <v/>
      </c>
      <c r="G87" s="4">
        <f>IF(E87="","",ROUNDDOWN(E87*$B$2+$H$2,0))</f>
        <v/>
      </c>
      <c r="H87" s="4">
        <f>IF(F87="","",ROUNDDOWN(F87*$D$2+$H$2,0))</f>
        <v/>
      </c>
      <c r="I87" s="4">
        <f>IF(F87="","",ROUNDDOWN(F87*$F$2,0))</f>
        <v/>
      </c>
      <c r="J87" s="4">
        <f>IF(G87="","",G87+H87+I87)</f>
        <v/>
      </c>
      <c r="K87" s="4">
        <f>IF(J87="","",F87-E87-J87)</f>
        <v/>
      </c>
      <c r="L87" s="5">
        <f>IF(E87="","",K87/E87)</f>
        <v/>
      </c>
      <c r="M87" s="4">
        <f>IF(B87="","",((B87*C87)*(1+$B$2)+2*$H$2)/(B87*(1-$D$2-$F$2)))</f>
        <v/>
      </c>
    </row>
    <row r="88">
      <c r="A88" s="3" t="n"/>
      <c r="C88" s="4" t="n"/>
      <c r="D88" s="4" t="n"/>
      <c r="E88" s="4">
        <f>IF(B88="","",B88*C88)</f>
        <v/>
      </c>
      <c r="F88" s="4">
        <f>IF(B88="","",B88*D88)</f>
        <v/>
      </c>
      <c r="G88" s="4">
        <f>IF(E88="","",ROUNDDOWN(E88*$B$2+$H$2,0))</f>
        <v/>
      </c>
      <c r="H88" s="4">
        <f>IF(F88="","",ROUNDDOWN(F88*$D$2+$H$2,0))</f>
        <v/>
      </c>
      <c r="I88" s="4">
        <f>IF(F88="","",ROUNDDOWN(F88*$F$2,0))</f>
        <v/>
      </c>
      <c r="J88" s="4">
        <f>IF(G88="","",G88+H88+I88)</f>
        <v/>
      </c>
      <c r="K88" s="4">
        <f>IF(J88="","",F88-E88-J88)</f>
        <v/>
      </c>
      <c r="L88" s="5">
        <f>IF(E88="","",K88/E88)</f>
        <v/>
      </c>
      <c r="M88" s="4">
        <f>IF(B88="","",((B88*C88)*(1+$B$2)+2*$H$2)/(B88*(1-$D$2-$F$2)))</f>
        <v/>
      </c>
    </row>
    <row r="89">
      <c r="A89" s="3" t="n"/>
      <c r="C89" s="4" t="n"/>
      <c r="D89" s="4" t="n"/>
      <c r="E89" s="4">
        <f>IF(B89="","",B89*C89)</f>
        <v/>
      </c>
      <c r="F89" s="4">
        <f>IF(B89="","",B89*D89)</f>
        <v/>
      </c>
      <c r="G89" s="4">
        <f>IF(E89="","",ROUNDDOWN(E89*$B$2+$H$2,0))</f>
        <v/>
      </c>
      <c r="H89" s="4">
        <f>IF(F89="","",ROUNDDOWN(F89*$D$2+$H$2,0))</f>
        <v/>
      </c>
      <c r="I89" s="4">
        <f>IF(F89="","",ROUNDDOWN(F89*$F$2,0))</f>
        <v/>
      </c>
      <c r="J89" s="4">
        <f>IF(G89="","",G89+H89+I89)</f>
        <v/>
      </c>
      <c r="K89" s="4">
        <f>IF(J89="","",F89-E89-J89)</f>
        <v/>
      </c>
      <c r="L89" s="5">
        <f>IF(E89="","",K89/E89)</f>
        <v/>
      </c>
      <c r="M89" s="4">
        <f>IF(B89="","",((B89*C89)*(1+$B$2)+2*$H$2)/(B89*(1-$D$2-$F$2)))</f>
        <v/>
      </c>
    </row>
    <row r="90">
      <c r="A90" s="3" t="n"/>
      <c r="C90" s="4" t="n"/>
      <c r="D90" s="4" t="n"/>
      <c r="E90" s="4">
        <f>IF(B90="","",B90*C90)</f>
        <v/>
      </c>
      <c r="F90" s="4">
        <f>IF(B90="","",B90*D90)</f>
        <v/>
      </c>
      <c r="G90" s="4">
        <f>IF(E90="","",ROUNDDOWN(E90*$B$2+$H$2,0))</f>
        <v/>
      </c>
      <c r="H90" s="4">
        <f>IF(F90="","",ROUNDDOWN(F90*$D$2+$H$2,0))</f>
        <v/>
      </c>
      <c r="I90" s="4">
        <f>IF(F90="","",ROUNDDOWN(F90*$F$2,0))</f>
        <v/>
      </c>
      <c r="J90" s="4">
        <f>IF(G90="","",G90+H90+I90)</f>
        <v/>
      </c>
      <c r="K90" s="4">
        <f>IF(J90="","",F90-E90-J90)</f>
        <v/>
      </c>
      <c r="L90" s="5">
        <f>IF(E90="","",K90/E90)</f>
        <v/>
      </c>
      <c r="M90" s="4">
        <f>IF(B90="","",((B90*C90)*(1+$B$2)+2*$H$2)/(B90*(1-$D$2-$F$2)))</f>
        <v/>
      </c>
    </row>
    <row r="91">
      <c r="A91" s="3" t="n"/>
      <c r="C91" s="4" t="n"/>
      <c r="D91" s="4" t="n"/>
      <c r="E91" s="4">
        <f>IF(B91="","",B91*C91)</f>
        <v/>
      </c>
      <c r="F91" s="4">
        <f>IF(B91="","",B91*D91)</f>
        <v/>
      </c>
      <c r="G91" s="4">
        <f>IF(E91="","",ROUNDDOWN(E91*$B$2+$H$2,0))</f>
        <v/>
      </c>
      <c r="H91" s="4">
        <f>IF(F91="","",ROUNDDOWN(F91*$D$2+$H$2,0))</f>
        <v/>
      </c>
      <c r="I91" s="4">
        <f>IF(F91="","",ROUNDDOWN(F91*$F$2,0))</f>
        <v/>
      </c>
      <c r="J91" s="4">
        <f>IF(G91="","",G91+H91+I91)</f>
        <v/>
      </c>
      <c r="K91" s="4">
        <f>IF(J91="","",F91-E91-J91)</f>
        <v/>
      </c>
      <c r="L91" s="5">
        <f>IF(E91="","",K91/E91)</f>
        <v/>
      </c>
      <c r="M91" s="4">
        <f>IF(B91="","",((B91*C91)*(1+$B$2)+2*$H$2)/(B91*(1-$D$2-$F$2)))</f>
        <v/>
      </c>
    </row>
    <row r="92">
      <c r="A92" s="3" t="n"/>
      <c r="C92" s="4" t="n"/>
      <c r="D92" s="4" t="n"/>
      <c r="E92" s="4">
        <f>IF(B92="","",B92*C92)</f>
        <v/>
      </c>
      <c r="F92" s="4">
        <f>IF(B92="","",B92*D92)</f>
        <v/>
      </c>
      <c r="G92" s="4">
        <f>IF(E92="","",ROUNDDOWN(E92*$B$2+$H$2,0))</f>
        <v/>
      </c>
      <c r="H92" s="4">
        <f>IF(F92="","",ROUNDDOWN(F92*$D$2+$H$2,0))</f>
        <v/>
      </c>
      <c r="I92" s="4">
        <f>IF(F92="","",ROUNDDOWN(F92*$F$2,0))</f>
        <v/>
      </c>
      <c r="J92" s="4">
        <f>IF(G92="","",G92+H92+I92)</f>
        <v/>
      </c>
      <c r="K92" s="4">
        <f>IF(J92="","",F92-E92-J92)</f>
        <v/>
      </c>
      <c r="L92" s="5">
        <f>IF(E92="","",K92/E92)</f>
        <v/>
      </c>
      <c r="M92" s="4">
        <f>IF(B92="","",((B92*C92)*(1+$B$2)+2*$H$2)/(B92*(1-$D$2-$F$2)))</f>
        <v/>
      </c>
    </row>
    <row r="93">
      <c r="A93" s="3" t="n"/>
      <c r="C93" s="4" t="n"/>
      <c r="D93" s="4" t="n"/>
      <c r="E93" s="4">
        <f>IF(B93="","",B93*C93)</f>
        <v/>
      </c>
      <c r="F93" s="4">
        <f>IF(B93="","",B93*D93)</f>
        <v/>
      </c>
      <c r="G93" s="4">
        <f>IF(E93="","",ROUNDDOWN(E93*$B$2+$H$2,0))</f>
        <v/>
      </c>
      <c r="H93" s="4">
        <f>IF(F93="","",ROUNDDOWN(F93*$D$2+$H$2,0))</f>
        <v/>
      </c>
      <c r="I93" s="4">
        <f>IF(F93="","",ROUNDDOWN(F93*$F$2,0))</f>
        <v/>
      </c>
      <c r="J93" s="4">
        <f>IF(G93="","",G93+H93+I93)</f>
        <v/>
      </c>
      <c r="K93" s="4">
        <f>IF(J93="","",F93-E93-J93)</f>
        <v/>
      </c>
      <c r="L93" s="5">
        <f>IF(E93="","",K93/E93)</f>
        <v/>
      </c>
      <c r="M93" s="4">
        <f>IF(B93="","",((B93*C93)*(1+$B$2)+2*$H$2)/(B93*(1-$D$2-$F$2)))</f>
        <v/>
      </c>
    </row>
    <row r="94">
      <c r="A94" s="3" t="n"/>
      <c r="C94" s="4" t="n"/>
      <c r="D94" s="4" t="n"/>
      <c r="E94" s="4">
        <f>IF(B94="","",B94*C94)</f>
        <v/>
      </c>
      <c r="F94" s="4">
        <f>IF(B94="","",B94*D94)</f>
        <v/>
      </c>
      <c r="G94" s="4">
        <f>IF(E94="","",ROUNDDOWN(E94*$B$2+$H$2,0))</f>
        <v/>
      </c>
      <c r="H94" s="4">
        <f>IF(F94="","",ROUNDDOWN(F94*$D$2+$H$2,0))</f>
        <v/>
      </c>
      <c r="I94" s="4">
        <f>IF(F94="","",ROUNDDOWN(F94*$F$2,0))</f>
        <v/>
      </c>
      <c r="J94" s="4">
        <f>IF(G94="","",G94+H94+I94)</f>
        <v/>
      </c>
      <c r="K94" s="4">
        <f>IF(J94="","",F94-E94-J94)</f>
        <v/>
      </c>
      <c r="L94" s="5">
        <f>IF(E94="","",K94/E94)</f>
        <v/>
      </c>
      <c r="M94" s="4">
        <f>IF(B94="","",((B94*C94)*(1+$B$2)+2*$H$2)/(B94*(1-$D$2-$F$2)))</f>
        <v/>
      </c>
    </row>
    <row r="95">
      <c r="A95" s="3" t="n"/>
      <c r="C95" s="4" t="n"/>
      <c r="D95" s="4" t="n"/>
      <c r="E95" s="4">
        <f>IF(B95="","",B95*C95)</f>
        <v/>
      </c>
      <c r="F95" s="4">
        <f>IF(B95="","",B95*D95)</f>
        <v/>
      </c>
      <c r="G95" s="4">
        <f>IF(E95="","",ROUNDDOWN(E95*$B$2+$H$2,0))</f>
        <v/>
      </c>
      <c r="H95" s="4">
        <f>IF(F95="","",ROUNDDOWN(F95*$D$2+$H$2,0))</f>
        <v/>
      </c>
      <c r="I95" s="4">
        <f>IF(F95="","",ROUNDDOWN(F95*$F$2,0))</f>
        <v/>
      </c>
      <c r="J95" s="4">
        <f>IF(G95="","",G95+H95+I95)</f>
        <v/>
      </c>
      <c r="K95" s="4">
        <f>IF(J95="","",F95-E95-J95)</f>
        <v/>
      </c>
      <c r="L95" s="5">
        <f>IF(E95="","",K95/E95)</f>
        <v/>
      </c>
      <c r="M95" s="4">
        <f>IF(B95="","",((B95*C95)*(1+$B$2)+2*$H$2)/(B95*(1-$D$2-$F$2)))</f>
        <v/>
      </c>
    </row>
    <row r="96">
      <c r="A96" s="3" t="n"/>
      <c r="C96" s="4" t="n"/>
      <c r="D96" s="4" t="n"/>
      <c r="E96" s="4">
        <f>IF(B96="","",B96*C96)</f>
        <v/>
      </c>
      <c r="F96" s="4">
        <f>IF(B96="","",B96*D96)</f>
        <v/>
      </c>
      <c r="G96" s="4">
        <f>IF(E96="","",ROUNDDOWN(E96*$B$2+$H$2,0))</f>
        <v/>
      </c>
      <c r="H96" s="4">
        <f>IF(F96="","",ROUNDDOWN(F96*$D$2+$H$2,0))</f>
        <v/>
      </c>
      <c r="I96" s="4">
        <f>IF(F96="","",ROUNDDOWN(F96*$F$2,0))</f>
        <v/>
      </c>
      <c r="J96" s="4">
        <f>IF(G96="","",G96+H96+I96)</f>
        <v/>
      </c>
      <c r="K96" s="4">
        <f>IF(J96="","",F96-E96-J96)</f>
        <v/>
      </c>
      <c r="L96" s="5">
        <f>IF(E96="","",K96/E96)</f>
        <v/>
      </c>
      <c r="M96" s="4">
        <f>IF(B96="","",((B96*C96)*(1+$B$2)+2*$H$2)/(B96*(1-$D$2-$F$2)))</f>
        <v/>
      </c>
    </row>
    <row r="97">
      <c r="A97" s="3" t="n"/>
      <c r="C97" s="4" t="n"/>
      <c r="D97" s="4" t="n"/>
      <c r="E97" s="4">
        <f>IF(B97="","",B97*C97)</f>
        <v/>
      </c>
      <c r="F97" s="4">
        <f>IF(B97="","",B97*D97)</f>
        <v/>
      </c>
      <c r="G97" s="4">
        <f>IF(E97="","",ROUNDDOWN(E97*$B$2+$H$2,0))</f>
        <v/>
      </c>
      <c r="H97" s="4">
        <f>IF(F97="","",ROUNDDOWN(F97*$D$2+$H$2,0))</f>
        <v/>
      </c>
      <c r="I97" s="4">
        <f>IF(F97="","",ROUNDDOWN(F97*$F$2,0))</f>
        <v/>
      </c>
      <c r="J97" s="4">
        <f>IF(G97="","",G97+H97+I97)</f>
        <v/>
      </c>
      <c r="K97" s="4">
        <f>IF(J97="","",F97-E97-J97)</f>
        <v/>
      </c>
      <c r="L97" s="5">
        <f>IF(E97="","",K97/E97)</f>
        <v/>
      </c>
      <c r="M97" s="4">
        <f>IF(B97="","",((B97*C97)*(1+$B$2)+2*$H$2)/(B97*(1-$D$2-$F$2)))</f>
        <v/>
      </c>
    </row>
    <row r="98">
      <c r="A98" s="3" t="n"/>
      <c r="C98" s="4" t="n"/>
      <c r="D98" s="4" t="n"/>
      <c r="E98" s="4">
        <f>IF(B98="","",B98*C98)</f>
        <v/>
      </c>
      <c r="F98" s="4">
        <f>IF(B98="","",B98*D98)</f>
        <v/>
      </c>
      <c r="G98" s="4">
        <f>IF(E98="","",ROUNDDOWN(E98*$B$2+$H$2,0))</f>
        <v/>
      </c>
      <c r="H98" s="4">
        <f>IF(F98="","",ROUNDDOWN(F98*$D$2+$H$2,0))</f>
        <v/>
      </c>
      <c r="I98" s="4">
        <f>IF(F98="","",ROUNDDOWN(F98*$F$2,0))</f>
        <v/>
      </c>
      <c r="J98" s="4">
        <f>IF(G98="","",G98+H98+I98)</f>
        <v/>
      </c>
      <c r="K98" s="4">
        <f>IF(J98="","",F98-E98-J98)</f>
        <v/>
      </c>
      <c r="L98" s="5">
        <f>IF(E98="","",K98/E98)</f>
        <v/>
      </c>
      <c r="M98" s="4">
        <f>IF(B98="","",((B98*C98)*(1+$B$2)+2*$H$2)/(B98*(1-$D$2-$F$2)))</f>
        <v/>
      </c>
    </row>
    <row r="99">
      <c r="A99" s="3" t="n"/>
      <c r="C99" s="4" t="n"/>
      <c r="D99" s="4" t="n"/>
      <c r="E99" s="4">
        <f>IF(B99="","",B99*C99)</f>
        <v/>
      </c>
      <c r="F99" s="4">
        <f>IF(B99="","",B99*D99)</f>
        <v/>
      </c>
      <c r="G99" s="4">
        <f>IF(E99="","",ROUNDDOWN(E99*$B$2+$H$2,0))</f>
        <v/>
      </c>
      <c r="H99" s="4">
        <f>IF(F99="","",ROUNDDOWN(F99*$D$2+$H$2,0))</f>
        <v/>
      </c>
      <c r="I99" s="4">
        <f>IF(F99="","",ROUNDDOWN(F99*$F$2,0))</f>
        <v/>
      </c>
      <c r="J99" s="4">
        <f>IF(G99="","",G99+H99+I99)</f>
        <v/>
      </c>
      <c r="K99" s="4">
        <f>IF(J99="","",F99-E99-J99)</f>
        <v/>
      </c>
      <c r="L99" s="5">
        <f>IF(E99="","",K99/E99)</f>
        <v/>
      </c>
      <c r="M99" s="4">
        <f>IF(B99="","",((B99*C99)*(1+$B$2)+2*$H$2)/(B99*(1-$D$2-$F$2)))</f>
        <v/>
      </c>
    </row>
    <row r="100">
      <c r="A100" s="3" t="n"/>
      <c r="C100" s="4" t="n"/>
      <c r="D100" s="4" t="n"/>
      <c r="E100" s="4">
        <f>IF(B100="","",B100*C100)</f>
        <v/>
      </c>
      <c r="F100" s="4">
        <f>IF(B100="","",B100*D100)</f>
        <v/>
      </c>
      <c r="G100" s="4">
        <f>IF(E100="","",ROUNDDOWN(E100*$B$2+$H$2,0))</f>
        <v/>
      </c>
      <c r="H100" s="4">
        <f>IF(F100="","",ROUNDDOWN(F100*$D$2+$H$2,0))</f>
        <v/>
      </c>
      <c r="I100" s="4">
        <f>IF(F100="","",ROUNDDOWN(F100*$F$2,0))</f>
        <v/>
      </c>
      <c r="J100" s="4">
        <f>IF(G100="","",G100+H100+I100)</f>
        <v/>
      </c>
      <c r="K100" s="4">
        <f>IF(J100="","",F100-E100-J100)</f>
        <v/>
      </c>
      <c r="L100" s="5">
        <f>IF(E100="","",K100/E100)</f>
        <v/>
      </c>
      <c r="M100" s="4">
        <f>IF(B100="","",((B100*C100)*(1+$B$2)+2*$H$2)/(B100*(1-$D$2-$F$2)))</f>
        <v/>
      </c>
    </row>
    <row r="101">
      <c r="A101" s="3" t="n"/>
      <c r="C101" s="4" t="n"/>
      <c r="D101" s="4" t="n"/>
      <c r="E101" s="4">
        <f>IF(B101="","",B101*C101)</f>
        <v/>
      </c>
      <c r="F101" s="4">
        <f>IF(B101="","",B101*D101)</f>
        <v/>
      </c>
      <c r="G101" s="4">
        <f>IF(E101="","",ROUNDDOWN(E101*$B$2+$H$2,0))</f>
        <v/>
      </c>
      <c r="H101" s="4">
        <f>IF(F101="","",ROUNDDOWN(F101*$D$2+$H$2,0))</f>
        <v/>
      </c>
      <c r="I101" s="4">
        <f>IF(F101="","",ROUNDDOWN(F101*$F$2,0))</f>
        <v/>
      </c>
      <c r="J101" s="4">
        <f>IF(G101="","",G101+H101+I101)</f>
        <v/>
      </c>
      <c r="K101" s="4">
        <f>IF(J101="","",F101-E101-J101)</f>
        <v/>
      </c>
      <c r="L101" s="5">
        <f>IF(E101="","",K101/E101)</f>
        <v/>
      </c>
      <c r="M101" s="4">
        <f>IF(B101="","",((B101*C101)*(1+$B$2)+2*$H$2)/(B101*(1-$D$2-$F$2)))</f>
        <v/>
      </c>
    </row>
    <row r="102">
      <c r="A102" s="3" t="n"/>
      <c r="C102" s="4" t="n"/>
      <c r="D102" s="4" t="n"/>
      <c r="E102" s="4">
        <f>IF(B102="","",B102*C102)</f>
        <v/>
      </c>
      <c r="F102" s="4">
        <f>IF(B102="","",B102*D102)</f>
        <v/>
      </c>
      <c r="G102" s="4">
        <f>IF(E102="","",ROUNDDOWN(E102*$B$2+$H$2,0))</f>
        <v/>
      </c>
      <c r="H102" s="4">
        <f>IF(F102="","",ROUNDDOWN(F102*$D$2+$H$2,0))</f>
        <v/>
      </c>
      <c r="I102" s="4">
        <f>IF(F102="","",ROUNDDOWN(F102*$F$2,0))</f>
        <v/>
      </c>
      <c r="J102" s="4">
        <f>IF(G102="","",G102+H102+I102)</f>
        <v/>
      </c>
      <c r="K102" s="4">
        <f>IF(J102="","",F102-E102-J102)</f>
        <v/>
      </c>
      <c r="L102" s="5">
        <f>IF(E102="","",K102/E102)</f>
        <v/>
      </c>
      <c r="M102" s="4">
        <f>IF(B102="","",((B102*C102)*(1+$B$2)+2*$H$2)/(B102*(1-$D$2-$F$2)))</f>
        <v/>
      </c>
    </row>
    <row r="103">
      <c r="A103" s="3" t="n"/>
      <c r="C103" s="4" t="n"/>
      <c r="D103" s="4" t="n"/>
      <c r="E103" s="4">
        <f>IF(B103="","",B103*C103)</f>
        <v/>
      </c>
      <c r="F103" s="4">
        <f>IF(B103="","",B103*D103)</f>
        <v/>
      </c>
      <c r="G103" s="4">
        <f>IF(E103="","",ROUNDDOWN(E103*$B$2+$H$2,0))</f>
        <v/>
      </c>
      <c r="H103" s="4">
        <f>IF(F103="","",ROUNDDOWN(F103*$D$2+$H$2,0))</f>
        <v/>
      </c>
      <c r="I103" s="4">
        <f>IF(F103="","",ROUNDDOWN(F103*$F$2,0))</f>
        <v/>
      </c>
      <c r="J103" s="4">
        <f>IF(G103="","",G103+H103+I103)</f>
        <v/>
      </c>
      <c r="K103" s="4">
        <f>IF(J103="","",F103-E103-J103)</f>
        <v/>
      </c>
      <c r="L103" s="5">
        <f>IF(E103="","",K103/E103)</f>
        <v/>
      </c>
      <c r="M103" s="4">
        <f>IF(B103="","",((B103*C103)*(1+$B$2)+2*$H$2)/(B103*(1-$D$2-$F$2)))</f>
        <v/>
      </c>
    </row>
    <row r="104">
      <c r="A104" s="3" t="n"/>
      <c r="C104" s="4" t="n"/>
      <c r="D104" s="4" t="n"/>
      <c r="E104" s="4">
        <f>IF(B104="","",B104*C104)</f>
        <v/>
      </c>
      <c r="F104" s="4">
        <f>IF(B104="","",B104*D104)</f>
        <v/>
      </c>
      <c r="G104" s="4">
        <f>IF(E104="","",ROUNDDOWN(E104*$B$2+$H$2,0))</f>
        <v/>
      </c>
      <c r="H104" s="4">
        <f>IF(F104="","",ROUNDDOWN(F104*$D$2+$H$2,0))</f>
        <v/>
      </c>
      <c r="I104" s="4">
        <f>IF(F104="","",ROUNDDOWN(F104*$F$2,0))</f>
        <v/>
      </c>
      <c r="J104" s="4">
        <f>IF(G104="","",G104+H104+I104)</f>
        <v/>
      </c>
      <c r="K104" s="4">
        <f>IF(J104="","",F104-E104-J104)</f>
        <v/>
      </c>
      <c r="L104" s="5">
        <f>IF(E104="","",K104/E104)</f>
        <v/>
      </c>
      <c r="M104" s="4">
        <f>IF(B104="","",((B104*C104)*(1+$B$2)+2*$H$2)/(B104*(1-$D$2-$F$2)))</f>
        <v/>
      </c>
    </row>
    <row r="105">
      <c r="A105" s="3" t="n"/>
      <c r="C105" s="4" t="n"/>
      <c r="D105" s="4" t="n"/>
      <c r="E105" s="4">
        <f>IF(B105="","",B105*C105)</f>
        <v/>
      </c>
      <c r="F105" s="4">
        <f>IF(B105="","",B105*D105)</f>
        <v/>
      </c>
      <c r="G105" s="4">
        <f>IF(E105="","",ROUNDDOWN(E105*$B$2+$H$2,0))</f>
        <v/>
      </c>
      <c r="H105" s="4">
        <f>IF(F105="","",ROUNDDOWN(F105*$D$2+$H$2,0))</f>
        <v/>
      </c>
      <c r="I105" s="4">
        <f>IF(F105="","",ROUNDDOWN(F105*$F$2,0))</f>
        <v/>
      </c>
      <c r="J105" s="4">
        <f>IF(G105="","",G105+H105+I105)</f>
        <v/>
      </c>
      <c r="K105" s="4">
        <f>IF(J105="","",F105-E105-J105)</f>
        <v/>
      </c>
      <c r="L105" s="5">
        <f>IF(E105="","",K105/E105)</f>
        <v/>
      </c>
      <c r="M105" s="4">
        <f>IF(B105="","",((B105*C105)*(1+$B$2)+2*$H$2)/(B105*(1-$D$2-$F$2)))</f>
        <v/>
      </c>
    </row>
    <row r="106">
      <c r="A106" s="3" t="n"/>
      <c r="C106" s="4" t="n"/>
      <c r="D106" s="4" t="n"/>
      <c r="E106" s="4">
        <f>IF(B106="","",B106*C106)</f>
        <v/>
      </c>
      <c r="F106" s="4">
        <f>IF(B106="","",B106*D106)</f>
        <v/>
      </c>
      <c r="G106" s="4">
        <f>IF(E106="","",ROUNDDOWN(E106*$B$2+$H$2,0))</f>
        <v/>
      </c>
      <c r="H106" s="4">
        <f>IF(F106="","",ROUNDDOWN(F106*$D$2+$H$2,0))</f>
        <v/>
      </c>
      <c r="I106" s="4">
        <f>IF(F106="","",ROUNDDOWN(F106*$F$2,0))</f>
        <v/>
      </c>
      <c r="J106" s="4">
        <f>IF(G106="","",G106+H106+I106)</f>
        <v/>
      </c>
      <c r="K106" s="4">
        <f>IF(J106="","",F106-E106-J106)</f>
        <v/>
      </c>
      <c r="L106" s="5">
        <f>IF(E106="","",K106/E106)</f>
        <v/>
      </c>
      <c r="M106" s="4">
        <f>IF(B106="","",((B106*C106)*(1+$B$2)+2*$H$2)/(B106*(1-$D$2-$F$2)))</f>
        <v/>
      </c>
    </row>
    <row r="107">
      <c r="A107" s="3" t="n"/>
      <c r="C107" s="4" t="n"/>
      <c r="D107" s="4" t="n"/>
      <c r="E107" s="4">
        <f>IF(B107="","",B107*C107)</f>
        <v/>
      </c>
      <c r="F107" s="4">
        <f>IF(B107="","",B107*D107)</f>
        <v/>
      </c>
      <c r="G107" s="4">
        <f>IF(E107="","",ROUNDDOWN(E107*$B$2+$H$2,0))</f>
        <v/>
      </c>
      <c r="H107" s="4">
        <f>IF(F107="","",ROUNDDOWN(F107*$D$2+$H$2,0))</f>
        <v/>
      </c>
      <c r="I107" s="4">
        <f>IF(F107="","",ROUNDDOWN(F107*$F$2,0))</f>
        <v/>
      </c>
      <c r="J107" s="4">
        <f>IF(G107="","",G107+H107+I107)</f>
        <v/>
      </c>
      <c r="K107" s="4">
        <f>IF(J107="","",F107-E107-J107)</f>
        <v/>
      </c>
      <c r="L107" s="5">
        <f>IF(E107="","",K107/E107)</f>
        <v/>
      </c>
      <c r="M107" s="4">
        <f>IF(B107="","",((B107*C107)*(1+$B$2)+2*$H$2)/(B107*(1-$D$2-$F$2)))</f>
        <v/>
      </c>
    </row>
    <row r="108">
      <c r="A108" s="3" t="n"/>
      <c r="C108" s="4" t="n"/>
      <c r="D108" s="4" t="n"/>
      <c r="E108" s="4">
        <f>IF(B108="","",B108*C108)</f>
        <v/>
      </c>
      <c r="F108" s="4">
        <f>IF(B108="","",B108*D108)</f>
        <v/>
      </c>
      <c r="G108" s="4">
        <f>IF(E108="","",ROUNDDOWN(E108*$B$2+$H$2,0))</f>
        <v/>
      </c>
      <c r="H108" s="4">
        <f>IF(F108="","",ROUNDDOWN(F108*$D$2+$H$2,0))</f>
        <v/>
      </c>
      <c r="I108" s="4">
        <f>IF(F108="","",ROUNDDOWN(F108*$F$2,0))</f>
        <v/>
      </c>
      <c r="J108" s="4">
        <f>IF(G108="","",G108+H108+I108)</f>
        <v/>
      </c>
      <c r="K108" s="4">
        <f>IF(J108="","",F108-E108-J108)</f>
        <v/>
      </c>
      <c r="L108" s="5">
        <f>IF(E108="","",K108/E108)</f>
        <v/>
      </c>
      <c r="M108" s="4">
        <f>IF(B108="","",((B108*C108)*(1+$B$2)+2*$H$2)/(B108*(1-$D$2-$F$2)))</f>
        <v/>
      </c>
    </row>
    <row r="109">
      <c r="A109" s="3" t="n"/>
      <c r="C109" s="4" t="n"/>
      <c r="D109" s="4" t="n"/>
      <c r="E109" s="4">
        <f>IF(B109="","",B109*C109)</f>
        <v/>
      </c>
      <c r="F109" s="4">
        <f>IF(B109="","",B109*D109)</f>
        <v/>
      </c>
      <c r="G109" s="4">
        <f>IF(E109="","",ROUNDDOWN(E109*$B$2+$H$2,0))</f>
        <v/>
      </c>
      <c r="H109" s="4">
        <f>IF(F109="","",ROUNDDOWN(F109*$D$2+$H$2,0))</f>
        <v/>
      </c>
      <c r="I109" s="4">
        <f>IF(F109="","",ROUNDDOWN(F109*$F$2,0))</f>
        <v/>
      </c>
      <c r="J109" s="4">
        <f>IF(G109="","",G109+H109+I109)</f>
        <v/>
      </c>
      <c r="K109" s="4">
        <f>IF(J109="","",F109-E109-J109)</f>
        <v/>
      </c>
      <c r="L109" s="5">
        <f>IF(E109="","",K109/E109)</f>
        <v/>
      </c>
      <c r="M109" s="4">
        <f>IF(B109="","",((B109*C109)*(1+$B$2)+2*$H$2)/(B109*(1-$D$2-$F$2)))</f>
        <v/>
      </c>
    </row>
    <row r="110">
      <c r="A110" s="3" t="n"/>
      <c r="C110" s="4" t="n"/>
      <c r="D110" s="4" t="n"/>
      <c r="E110" s="4">
        <f>IF(B110="","",B110*C110)</f>
        <v/>
      </c>
      <c r="F110" s="4">
        <f>IF(B110="","",B110*D110)</f>
        <v/>
      </c>
      <c r="G110" s="4">
        <f>IF(E110="","",ROUNDDOWN(E110*$B$2+$H$2,0))</f>
        <v/>
      </c>
      <c r="H110" s="4">
        <f>IF(F110="","",ROUNDDOWN(F110*$D$2+$H$2,0))</f>
        <v/>
      </c>
      <c r="I110" s="4">
        <f>IF(F110="","",ROUNDDOWN(F110*$F$2,0))</f>
        <v/>
      </c>
      <c r="J110" s="4">
        <f>IF(G110="","",G110+H110+I110)</f>
        <v/>
      </c>
      <c r="K110" s="4">
        <f>IF(J110="","",F110-E110-J110)</f>
        <v/>
      </c>
      <c r="L110" s="5">
        <f>IF(E110="","",K110/E110)</f>
        <v/>
      </c>
      <c r="M110" s="4">
        <f>IF(B110="","",((B110*C110)*(1+$B$2)+2*$H$2)/(B110*(1-$D$2-$F$2)))</f>
        <v/>
      </c>
    </row>
    <row r="111">
      <c r="A111" s="3" t="n"/>
      <c r="C111" s="4" t="n"/>
      <c r="D111" s="4" t="n"/>
      <c r="E111" s="4">
        <f>IF(B111="","",B111*C111)</f>
        <v/>
      </c>
      <c r="F111" s="4">
        <f>IF(B111="","",B111*D111)</f>
        <v/>
      </c>
      <c r="G111" s="4">
        <f>IF(E111="","",ROUNDDOWN(E111*$B$2+$H$2,0))</f>
        <v/>
      </c>
      <c r="H111" s="4">
        <f>IF(F111="","",ROUNDDOWN(F111*$D$2+$H$2,0))</f>
        <v/>
      </c>
      <c r="I111" s="4">
        <f>IF(F111="","",ROUNDDOWN(F111*$F$2,0))</f>
        <v/>
      </c>
      <c r="J111" s="4">
        <f>IF(G111="","",G111+H111+I111)</f>
        <v/>
      </c>
      <c r="K111" s="4">
        <f>IF(J111="","",F111-E111-J111)</f>
        <v/>
      </c>
      <c r="L111" s="5">
        <f>IF(E111="","",K111/E111)</f>
        <v/>
      </c>
      <c r="M111" s="4">
        <f>IF(B111="","",((B111*C111)*(1+$B$2)+2*$H$2)/(B111*(1-$D$2-$F$2)))</f>
        <v/>
      </c>
    </row>
    <row r="112">
      <c r="A112" s="3" t="n"/>
      <c r="C112" s="4" t="n"/>
      <c r="D112" s="4" t="n"/>
      <c r="E112" s="4">
        <f>IF(B112="","",B112*C112)</f>
        <v/>
      </c>
      <c r="F112" s="4">
        <f>IF(B112="","",B112*D112)</f>
        <v/>
      </c>
      <c r="G112" s="4">
        <f>IF(E112="","",ROUNDDOWN(E112*$B$2+$H$2,0))</f>
        <v/>
      </c>
      <c r="H112" s="4">
        <f>IF(F112="","",ROUNDDOWN(F112*$D$2+$H$2,0))</f>
        <v/>
      </c>
      <c r="I112" s="4">
        <f>IF(F112="","",ROUNDDOWN(F112*$F$2,0))</f>
        <v/>
      </c>
      <c r="J112" s="4">
        <f>IF(G112="","",G112+H112+I112)</f>
        <v/>
      </c>
      <c r="K112" s="4">
        <f>IF(J112="","",F112-E112-J112)</f>
        <v/>
      </c>
      <c r="L112" s="5">
        <f>IF(E112="","",K112/E112)</f>
        <v/>
      </c>
      <c r="M112" s="4">
        <f>IF(B112="","",((B112*C112)*(1+$B$2)+2*$H$2)/(B112*(1-$D$2-$F$2)))</f>
        <v/>
      </c>
    </row>
    <row r="113">
      <c r="A113" s="3" t="n"/>
      <c r="C113" s="4" t="n"/>
      <c r="D113" s="4" t="n"/>
      <c r="E113" s="4">
        <f>IF(B113="","",B113*C113)</f>
        <v/>
      </c>
      <c r="F113" s="4">
        <f>IF(B113="","",B113*D113)</f>
        <v/>
      </c>
      <c r="G113" s="4">
        <f>IF(E113="","",ROUNDDOWN(E113*$B$2+$H$2,0))</f>
        <v/>
      </c>
      <c r="H113" s="4">
        <f>IF(F113="","",ROUNDDOWN(F113*$D$2+$H$2,0))</f>
        <v/>
      </c>
      <c r="I113" s="4">
        <f>IF(F113="","",ROUNDDOWN(F113*$F$2,0))</f>
        <v/>
      </c>
      <c r="J113" s="4">
        <f>IF(G113="","",G113+H113+I113)</f>
        <v/>
      </c>
      <c r="K113" s="4">
        <f>IF(J113="","",F113-E113-J113)</f>
        <v/>
      </c>
      <c r="L113" s="5">
        <f>IF(E113="","",K113/E113)</f>
        <v/>
      </c>
      <c r="M113" s="4">
        <f>IF(B113="","",((B113*C113)*(1+$B$2)+2*$H$2)/(B113*(1-$D$2-$F$2)))</f>
        <v/>
      </c>
    </row>
    <row r="114">
      <c r="A114" s="3" t="n"/>
      <c r="C114" s="4" t="n"/>
      <c r="D114" s="4" t="n"/>
      <c r="E114" s="4">
        <f>IF(B114="","",B114*C114)</f>
        <v/>
      </c>
      <c r="F114" s="4">
        <f>IF(B114="","",B114*D114)</f>
        <v/>
      </c>
      <c r="G114" s="4">
        <f>IF(E114="","",ROUNDDOWN(E114*$B$2+$H$2,0))</f>
        <v/>
      </c>
      <c r="H114" s="4">
        <f>IF(F114="","",ROUNDDOWN(F114*$D$2+$H$2,0))</f>
        <v/>
      </c>
      <c r="I114" s="4">
        <f>IF(F114="","",ROUNDDOWN(F114*$F$2,0))</f>
        <v/>
      </c>
      <c r="J114" s="4">
        <f>IF(G114="","",G114+H114+I114)</f>
        <v/>
      </c>
      <c r="K114" s="4">
        <f>IF(J114="","",F114-E114-J114)</f>
        <v/>
      </c>
      <c r="L114" s="5">
        <f>IF(E114="","",K114/E114)</f>
        <v/>
      </c>
      <c r="M114" s="4">
        <f>IF(B114="","",((B114*C114)*(1+$B$2)+2*$H$2)/(B114*(1-$D$2-$F$2)))</f>
        <v/>
      </c>
    </row>
    <row r="115">
      <c r="A115" s="3" t="n"/>
      <c r="C115" s="4" t="n"/>
      <c r="D115" s="4" t="n"/>
      <c r="E115" s="4">
        <f>IF(B115="","",B115*C115)</f>
        <v/>
      </c>
      <c r="F115" s="4">
        <f>IF(B115="","",B115*D115)</f>
        <v/>
      </c>
      <c r="G115" s="4">
        <f>IF(E115="","",ROUNDDOWN(E115*$B$2+$H$2,0))</f>
        <v/>
      </c>
      <c r="H115" s="4">
        <f>IF(F115="","",ROUNDDOWN(F115*$D$2+$H$2,0))</f>
        <v/>
      </c>
      <c r="I115" s="4">
        <f>IF(F115="","",ROUNDDOWN(F115*$F$2,0))</f>
        <v/>
      </c>
      <c r="J115" s="4">
        <f>IF(G115="","",G115+H115+I115)</f>
        <v/>
      </c>
      <c r="K115" s="4">
        <f>IF(J115="","",F115-E115-J115)</f>
        <v/>
      </c>
      <c r="L115" s="5">
        <f>IF(E115="","",K115/E115)</f>
        <v/>
      </c>
      <c r="M115" s="4">
        <f>IF(B115="","",((B115*C115)*(1+$B$2)+2*$H$2)/(B115*(1-$D$2-$F$2)))</f>
        <v/>
      </c>
    </row>
    <row r="116">
      <c r="A116" s="3" t="n"/>
      <c r="C116" s="4" t="n"/>
      <c r="D116" s="4" t="n"/>
      <c r="E116" s="4">
        <f>IF(B116="","",B116*C116)</f>
        <v/>
      </c>
      <c r="F116" s="4">
        <f>IF(B116="","",B116*D116)</f>
        <v/>
      </c>
      <c r="G116" s="4">
        <f>IF(E116="","",ROUNDDOWN(E116*$B$2+$H$2,0))</f>
        <v/>
      </c>
      <c r="H116" s="4">
        <f>IF(F116="","",ROUNDDOWN(F116*$D$2+$H$2,0))</f>
        <v/>
      </c>
      <c r="I116" s="4">
        <f>IF(F116="","",ROUNDDOWN(F116*$F$2,0))</f>
        <v/>
      </c>
      <c r="J116" s="4">
        <f>IF(G116="","",G116+H116+I116)</f>
        <v/>
      </c>
      <c r="K116" s="4">
        <f>IF(J116="","",F116-E116-J116)</f>
        <v/>
      </c>
      <c r="L116" s="5">
        <f>IF(E116="","",K116/E116)</f>
        <v/>
      </c>
      <c r="M116" s="4">
        <f>IF(B116="","",((B116*C116)*(1+$B$2)+2*$H$2)/(B116*(1-$D$2-$F$2)))</f>
        <v/>
      </c>
    </row>
    <row r="117">
      <c r="A117" s="3" t="n"/>
      <c r="C117" s="4" t="n"/>
      <c r="D117" s="4" t="n"/>
      <c r="E117" s="4">
        <f>IF(B117="","",B117*C117)</f>
        <v/>
      </c>
      <c r="F117" s="4">
        <f>IF(B117="","",B117*D117)</f>
        <v/>
      </c>
      <c r="G117" s="4">
        <f>IF(E117="","",ROUNDDOWN(E117*$B$2+$H$2,0))</f>
        <v/>
      </c>
      <c r="H117" s="4">
        <f>IF(F117="","",ROUNDDOWN(F117*$D$2+$H$2,0))</f>
        <v/>
      </c>
      <c r="I117" s="4">
        <f>IF(F117="","",ROUNDDOWN(F117*$F$2,0))</f>
        <v/>
      </c>
      <c r="J117" s="4">
        <f>IF(G117="","",G117+H117+I117)</f>
        <v/>
      </c>
      <c r="K117" s="4">
        <f>IF(J117="","",F117-E117-J117)</f>
        <v/>
      </c>
      <c r="L117" s="5">
        <f>IF(E117="","",K117/E117)</f>
        <v/>
      </c>
      <c r="M117" s="4">
        <f>IF(B117="","",((B117*C117)*(1+$B$2)+2*$H$2)/(B117*(1-$D$2-$F$2)))</f>
        <v/>
      </c>
    </row>
    <row r="118">
      <c r="A118" s="3" t="n"/>
      <c r="C118" s="4" t="n"/>
      <c r="D118" s="4" t="n"/>
      <c r="E118" s="4">
        <f>IF(B118="","",B118*C118)</f>
        <v/>
      </c>
      <c r="F118" s="4">
        <f>IF(B118="","",B118*D118)</f>
        <v/>
      </c>
      <c r="G118" s="4">
        <f>IF(E118="","",ROUNDDOWN(E118*$B$2+$H$2,0))</f>
        <v/>
      </c>
      <c r="H118" s="4">
        <f>IF(F118="","",ROUNDDOWN(F118*$D$2+$H$2,0))</f>
        <v/>
      </c>
      <c r="I118" s="4">
        <f>IF(F118="","",ROUNDDOWN(F118*$F$2,0))</f>
        <v/>
      </c>
      <c r="J118" s="4">
        <f>IF(G118="","",G118+H118+I118)</f>
        <v/>
      </c>
      <c r="K118" s="4">
        <f>IF(J118="","",F118-E118-J118)</f>
        <v/>
      </c>
      <c r="L118" s="5">
        <f>IF(E118="","",K118/E118)</f>
        <v/>
      </c>
      <c r="M118" s="4">
        <f>IF(B118="","",((B118*C118)*(1+$B$2)+2*$H$2)/(B118*(1-$D$2-$F$2)))</f>
        <v/>
      </c>
    </row>
    <row r="119">
      <c r="A119" s="3" t="n"/>
      <c r="C119" s="4" t="n"/>
      <c r="D119" s="4" t="n"/>
      <c r="E119" s="4">
        <f>IF(B119="","",B119*C119)</f>
        <v/>
      </c>
      <c r="F119" s="4">
        <f>IF(B119="","",B119*D119)</f>
        <v/>
      </c>
      <c r="G119" s="4">
        <f>IF(E119="","",ROUNDDOWN(E119*$B$2+$H$2,0))</f>
        <v/>
      </c>
      <c r="H119" s="4">
        <f>IF(F119="","",ROUNDDOWN(F119*$D$2+$H$2,0))</f>
        <v/>
      </c>
      <c r="I119" s="4">
        <f>IF(F119="","",ROUNDDOWN(F119*$F$2,0))</f>
        <v/>
      </c>
      <c r="J119" s="4">
        <f>IF(G119="","",G119+H119+I119)</f>
        <v/>
      </c>
      <c r="K119" s="4">
        <f>IF(J119="","",F119-E119-J119)</f>
        <v/>
      </c>
      <c r="L119" s="5">
        <f>IF(E119="","",K119/E119)</f>
        <v/>
      </c>
      <c r="M119" s="4">
        <f>IF(B119="","",((B119*C119)*(1+$B$2)+2*$H$2)/(B119*(1-$D$2-$F$2)))</f>
        <v/>
      </c>
    </row>
    <row r="120">
      <c r="A120" s="3" t="n"/>
      <c r="C120" s="4" t="n"/>
      <c r="D120" s="4" t="n"/>
      <c r="E120" s="4">
        <f>IF(B120="","",B120*C120)</f>
        <v/>
      </c>
      <c r="F120" s="4">
        <f>IF(B120="","",B120*D120)</f>
        <v/>
      </c>
      <c r="G120" s="4">
        <f>IF(E120="","",ROUNDDOWN(E120*$B$2+$H$2,0))</f>
        <v/>
      </c>
      <c r="H120" s="4">
        <f>IF(F120="","",ROUNDDOWN(F120*$D$2+$H$2,0))</f>
        <v/>
      </c>
      <c r="I120" s="4">
        <f>IF(F120="","",ROUNDDOWN(F120*$F$2,0))</f>
        <v/>
      </c>
      <c r="J120" s="4">
        <f>IF(G120="","",G120+H120+I120)</f>
        <v/>
      </c>
      <c r="K120" s="4">
        <f>IF(J120="","",F120-E120-J120)</f>
        <v/>
      </c>
      <c r="L120" s="5">
        <f>IF(E120="","",K120/E120)</f>
        <v/>
      </c>
      <c r="M120" s="4">
        <f>IF(B120="","",((B120*C120)*(1+$B$2)+2*$H$2)/(B120*(1-$D$2-$F$2)))</f>
        <v/>
      </c>
    </row>
    <row r="121">
      <c r="A121" s="3" t="n"/>
      <c r="C121" s="4" t="n"/>
      <c r="D121" s="4" t="n"/>
      <c r="E121" s="4">
        <f>IF(B121="","",B121*C121)</f>
        <v/>
      </c>
      <c r="F121" s="4">
        <f>IF(B121="","",B121*D121)</f>
        <v/>
      </c>
      <c r="G121" s="4">
        <f>IF(E121="","",ROUNDDOWN(E121*$B$2+$H$2,0))</f>
        <v/>
      </c>
      <c r="H121" s="4">
        <f>IF(F121="","",ROUNDDOWN(F121*$D$2+$H$2,0))</f>
        <v/>
      </c>
      <c r="I121" s="4">
        <f>IF(F121="","",ROUNDDOWN(F121*$F$2,0))</f>
        <v/>
      </c>
      <c r="J121" s="4">
        <f>IF(G121="","",G121+H121+I121)</f>
        <v/>
      </c>
      <c r="K121" s="4">
        <f>IF(J121="","",F121-E121-J121)</f>
        <v/>
      </c>
      <c r="L121" s="5">
        <f>IF(E121="","",K121/E121)</f>
        <v/>
      </c>
      <c r="M121" s="4">
        <f>IF(B121="","",((B121*C121)*(1+$B$2)+2*$H$2)/(B121*(1-$D$2-$F$2)))</f>
        <v/>
      </c>
    </row>
    <row r="122">
      <c r="A122" s="3" t="n"/>
      <c r="C122" s="4" t="n"/>
      <c r="D122" s="4" t="n"/>
      <c r="E122" s="4">
        <f>IF(B122="","",B122*C122)</f>
        <v/>
      </c>
      <c r="F122" s="4">
        <f>IF(B122="","",B122*D122)</f>
        <v/>
      </c>
      <c r="G122" s="4">
        <f>IF(E122="","",ROUNDDOWN(E122*$B$2+$H$2,0))</f>
        <v/>
      </c>
      <c r="H122" s="4">
        <f>IF(F122="","",ROUNDDOWN(F122*$D$2+$H$2,0))</f>
        <v/>
      </c>
      <c r="I122" s="4">
        <f>IF(F122="","",ROUNDDOWN(F122*$F$2,0))</f>
        <v/>
      </c>
      <c r="J122" s="4">
        <f>IF(G122="","",G122+H122+I122)</f>
        <v/>
      </c>
      <c r="K122" s="4">
        <f>IF(J122="","",F122-E122-J122)</f>
        <v/>
      </c>
      <c r="L122" s="5">
        <f>IF(E122="","",K122/E122)</f>
        <v/>
      </c>
      <c r="M122" s="4">
        <f>IF(B122="","",((B122*C122)*(1+$B$2)+2*$H$2)/(B122*(1-$D$2-$F$2)))</f>
        <v/>
      </c>
    </row>
    <row r="123">
      <c r="A123" s="3" t="n"/>
      <c r="C123" s="4" t="n"/>
      <c r="D123" s="4" t="n"/>
      <c r="E123" s="4">
        <f>IF(B123="","",B123*C123)</f>
        <v/>
      </c>
      <c r="F123" s="4">
        <f>IF(B123="","",B123*D123)</f>
        <v/>
      </c>
      <c r="G123" s="4">
        <f>IF(E123="","",ROUNDDOWN(E123*$B$2+$H$2,0))</f>
        <v/>
      </c>
      <c r="H123" s="4">
        <f>IF(F123="","",ROUNDDOWN(F123*$D$2+$H$2,0))</f>
        <v/>
      </c>
      <c r="I123" s="4">
        <f>IF(F123="","",ROUNDDOWN(F123*$F$2,0))</f>
        <v/>
      </c>
      <c r="J123" s="4">
        <f>IF(G123="","",G123+H123+I123)</f>
        <v/>
      </c>
      <c r="K123" s="4">
        <f>IF(J123="","",F123-E123-J123)</f>
        <v/>
      </c>
      <c r="L123" s="5">
        <f>IF(E123="","",K123/E123)</f>
        <v/>
      </c>
      <c r="M123" s="4">
        <f>IF(B123="","",((B123*C123)*(1+$B$2)+2*$H$2)/(B123*(1-$D$2-$F$2)))</f>
        <v/>
      </c>
    </row>
    <row r="124">
      <c r="A124" s="3" t="n"/>
      <c r="C124" s="4" t="n"/>
      <c r="D124" s="4" t="n"/>
      <c r="E124" s="4">
        <f>IF(B124="","",B124*C124)</f>
        <v/>
      </c>
      <c r="F124" s="4">
        <f>IF(B124="","",B124*D124)</f>
        <v/>
      </c>
      <c r="G124" s="4">
        <f>IF(E124="","",ROUNDDOWN(E124*$B$2+$H$2,0))</f>
        <v/>
      </c>
      <c r="H124" s="4">
        <f>IF(F124="","",ROUNDDOWN(F124*$D$2+$H$2,0))</f>
        <v/>
      </c>
      <c r="I124" s="4">
        <f>IF(F124="","",ROUNDDOWN(F124*$F$2,0))</f>
        <v/>
      </c>
      <c r="J124" s="4">
        <f>IF(G124="","",G124+H124+I124)</f>
        <v/>
      </c>
      <c r="K124" s="4">
        <f>IF(J124="","",F124-E124-J124)</f>
        <v/>
      </c>
      <c r="L124" s="5">
        <f>IF(E124="","",K124/E124)</f>
        <v/>
      </c>
      <c r="M124" s="4">
        <f>IF(B124="","",((B124*C124)*(1+$B$2)+2*$H$2)/(B124*(1-$D$2-$F$2)))</f>
        <v/>
      </c>
    </row>
    <row r="125">
      <c r="A125" s="3" t="n"/>
      <c r="C125" s="4" t="n"/>
      <c r="D125" s="4" t="n"/>
      <c r="E125" s="4">
        <f>IF(B125="","",B125*C125)</f>
        <v/>
      </c>
      <c r="F125" s="4">
        <f>IF(B125="","",B125*D125)</f>
        <v/>
      </c>
      <c r="G125" s="4">
        <f>IF(E125="","",ROUNDDOWN(E125*$B$2+$H$2,0))</f>
        <v/>
      </c>
      <c r="H125" s="4">
        <f>IF(F125="","",ROUNDDOWN(F125*$D$2+$H$2,0))</f>
        <v/>
      </c>
      <c r="I125" s="4">
        <f>IF(F125="","",ROUNDDOWN(F125*$F$2,0))</f>
        <v/>
      </c>
      <c r="J125" s="4">
        <f>IF(G125="","",G125+H125+I125)</f>
        <v/>
      </c>
      <c r="K125" s="4">
        <f>IF(J125="","",F125-E125-J125)</f>
        <v/>
      </c>
      <c r="L125" s="5">
        <f>IF(E125="","",K125/E125)</f>
        <v/>
      </c>
      <c r="M125" s="4">
        <f>IF(B125="","",((B125*C125)*(1+$B$2)+2*$H$2)/(B125*(1-$D$2-$F$2)))</f>
        <v/>
      </c>
    </row>
    <row r="126">
      <c r="A126" s="3" t="n"/>
      <c r="C126" s="4" t="n"/>
      <c r="D126" s="4" t="n"/>
      <c r="E126" s="4">
        <f>IF(B126="","",B126*C126)</f>
        <v/>
      </c>
      <c r="F126" s="4">
        <f>IF(B126="","",B126*D126)</f>
        <v/>
      </c>
      <c r="G126" s="4">
        <f>IF(E126="","",ROUNDDOWN(E126*$B$2+$H$2,0))</f>
        <v/>
      </c>
      <c r="H126" s="4">
        <f>IF(F126="","",ROUNDDOWN(F126*$D$2+$H$2,0))</f>
        <v/>
      </c>
      <c r="I126" s="4">
        <f>IF(F126="","",ROUNDDOWN(F126*$F$2,0))</f>
        <v/>
      </c>
      <c r="J126" s="4">
        <f>IF(G126="","",G126+H126+I126)</f>
        <v/>
      </c>
      <c r="K126" s="4">
        <f>IF(J126="","",F126-E126-J126)</f>
        <v/>
      </c>
      <c r="L126" s="5">
        <f>IF(E126="","",K126/E126)</f>
        <v/>
      </c>
      <c r="M126" s="4">
        <f>IF(B126="","",((B126*C126)*(1+$B$2)+2*$H$2)/(B126*(1-$D$2-$F$2)))</f>
        <v/>
      </c>
    </row>
    <row r="127">
      <c r="A127" s="3" t="n"/>
      <c r="C127" s="4" t="n"/>
      <c r="D127" s="4" t="n"/>
      <c r="E127" s="4">
        <f>IF(B127="","",B127*C127)</f>
        <v/>
      </c>
      <c r="F127" s="4">
        <f>IF(B127="","",B127*D127)</f>
        <v/>
      </c>
      <c r="G127" s="4">
        <f>IF(E127="","",ROUNDDOWN(E127*$B$2+$H$2,0))</f>
        <v/>
      </c>
      <c r="H127" s="4">
        <f>IF(F127="","",ROUNDDOWN(F127*$D$2+$H$2,0))</f>
        <v/>
      </c>
      <c r="I127" s="4">
        <f>IF(F127="","",ROUNDDOWN(F127*$F$2,0))</f>
        <v/>
      </c>
      <c r="J127" s="4">
        <f>IF(G127="","",G127+H127+I127)</f>
        <v/>
      </c>
      <c r="K127" s="4">
        <f>IF(J127="","",F127-E127-J127)</f>
        <v/>
      </c>
      <c r="L127" s="5">
        <f>IF(E127="","",K127/E127)</f>
        <v/>
      </c>
      <c r="M127" s="4">
        <f>IF(B127="","",((B127*C127)*(1+$B$2)+2*$H$2)/(B127*(1-$D$2-$F$2)))</f>
        <v/>
      </c>
    </row>
    <row r="128">
      <c r="A128" s="3" t="n"/>
      <c r="C128" s="4" t="n"/>
      <c r="D128" s="4" t="n"/>
      <c r="E128" s="4">
        <f>IF(B128="","",B128*C128)</f>
        <v/>
      </c>
      <c r="F128" s="4">
        <f>IF(B128="","",B128*D128)</f>
        <v/>
      </c>
      <c r="G128" s="4">
        <f>IF(E128="","",ROUNDDOWN(E128*$B$2+$H$2,0))</f>
        <v/>
      </c>
      <c r="H128" s="4">
        <f>IF(F128="","",ROUNDDOWN(F128*$D$2+$H$2,0))</f>
        <v/>
      </c>
      <c r="I128" s="4">
        <f>IF(F128="","",ROUNDDOWN(F128*$F$2,0))</f>
        <v/>
      </c>
      <c r="J128" s="4">
        <f>IF(G128="","",G128+H128+I128)</f>
        <v/>
      </c>
      <c r="K128" s="4">
        <f>IF(J128="","",F128-E128-J128)</f>
        <v/>
      </c>
      <c r="L128" s="5">
        <f>IF(E128="","",K128/E128)</f>
        <v/>
      </c>
      <c r="M128" s="4">
        <f>IF(B128="","",((B128*C128)*(1+$B$2)+2*$H$2)/(B128*(1-$D$2-$F$2)))</f>
        <v/>
      </c>
    </row>
    <row r="129">
      <c r="A129" s="3" t="n"/>
      <c r="C129" s="4" t="n"/>
      <c r="D129" s="4" t="n"/>
      <c r="E129" s="4">
        <f>IF(B129="","",B129*C129)</f>
        <v/>
      </c>
      <c r="F129" s="4">
        <f>IF(B129="","",B129*D129)</f>
        <v/>
      </c>
      <c r="G129" s="4">
        <f>IF(E129="","",ROUNDDOWN(E129*$B$2+$H$2,0))</f>
        <v/>
      </c>
      <c r="H129" s="4">
        <f>IF(F129="","",ROUNDDOWN(F129*$D$2+$H$2,0))</f>
        <v/>
      </c>
      <c r="I129" s="4">
        <f>IF(F129="","",ROUNDDOWN(F129*$F$2,0))</f>
        <v/>
      </c>
      <c r="J129" s="4">
        <f>IF(G129="","",G129+H129+I129)</f>
        <v/>
      </c>
      <c r="K129" s="4">
        <f>IF(J129="","",F129-E129-J129)</f>
        <v/>
      </c>
      <c r="L129" s="5">
        <f>IF(E129="","",K129/E129)</f>
        <v/>
      </c>
      <c r="M129" s="4">
        <f>IF(B129="","",((B129*C129)*(1+$B$2)+2*$H$2)/(B129*(1-$D$2-$F$2)))</f>
        <v/>
      </c>
    </row>
    <row r="130">
      <c r="A130" s="3" t="n"/>
      <c r="C130" s="4" t="n"/>
      <c r="D130" s="4" t="n"/>
      <c r="E130" s="4">
        <f>IF(B130="","",B130*C130)</f>
        <v/>
      </c>
      <c r="F130" s="4">
        <f>IF(B130="","",B130*D130)</f>
        <v/>
      </c>
      <c r="G130" s="4">
        <f>IF(E130="","",ROUNDDOWN(E130*$B$2+$H$2,0))</f>
        <v/>
      </c>
      <c r="H130" s="4">
        <f>IF(F130="","",ROUNDDOWN(F130*$D$2+$H$2,0))</f>
        <v/>
      </c>
      <c r="I130" s="4">
        <f>IF(F130="","",ROUNDDOWN(F130*$F$2,0))</f>
        <v/>
      </c>
      <c r="J130" s="4">
        <f>IF(G130="","",G130+H130+I130)</f>
        <v/>
      </c>
      <c r="K130" s="4">
        <f>IF(J130="","",F130-E130-J130)</f>
        <v/>
      </c>
      <c r="L130" s="5">
        <f>IF(E130="","",K130/E130)</f>
        <v/>
      </c>
      <c r="M130" s="4">
        <f>IF(B130="","",((B130*C130)*(1+$B$2)+2*$H$2)/(B130*(1-$D$2-$F$2)))</f>
        <v/>
      </c>
    </row>
    <row r="131">
      <c r="A131" s="3" t="n"/>
      <c r="C131" s="4" t="n"/>
      <c r="D131" s="4" t="n"/>
      <c r="E131" s="4">
        <f>IF(B131="","",B131*C131)</f>
        <v/>
      </c>
      <c r="F131" s="4">
        <f>IF(B131="","",B131*D131)</f>
        <v/>
      </c>
      <c r="G131" s="4">
        <f>IF(E131="","",ROUNDDOWN(E131*$B$2+$H$2,0))</f>
        <v/>
      </c>
      <c r="H131" s="4">
        <f>IF(F131="","",ROUNDDOWN(F131*$D$2+$H$2,0))</f>
        <v/>
      </c>
      <c r="I131" s="4">
        <f>IF(F131="","",ROUNDDOWN(F131*$F$2,0))</f>
        <v/>
      </c>
      <c r="J131" s="4">
        <f>IF(G131="","",G131+H131+I131)</f>
        <v/>
      </c>
      <c r="K131" s="4">
        <f>IF(J131="","",F131-E131-J131)</f>
        <v/>
      </c>
      <c r="L131" s="5">
        <f>IF(E131="","",K131/E131)</f>
        <v/>
      </c>
      <c r="M131" s="4">
        <f>IF(B131="","",((B131*C131)*(1+$B$2)+2*$H$2)/(B131*(1-$D$2-$F$2)))</f>
        <v/>
      </c>
    </row>
    <row r="132">
      <c r="A132" s="3" t="n"/>
      <c r="C132" s="4" t="n"/>
      <c r="D132" s="4" t="n"/>
      <c r="E132" s="4">
        <f>IF(B132="","",B132*C132)</f>
        <v/>
      </c>
      <c r="F132" s="4">
        <f>IF(B132="","",B132*D132)</f>
        <v/>
      </c>
      <c r="G132" s="4">
        <f>IF(E132="","",ROUNDDOWN(E132*$B$2+$H$2,0))</f>
        <v/>
      </c>
      <c r="H132" s="4">
        <f>IF(F132="","",ROUNDDOWN(F132*$D$2+$H$2,0))</f>
        <v/>
      </c>
      <c r="I132" s="4">
        <f>IF(F132="","",ROUNDDOWN(F132*$F$2,0))</f>
        <v/>
      </c>
      <c r="J132" s="4">
        <f>IF(G132="","",G132+H132+I132)</f>
        <v/>
      </c>
      <c r="K132" s="4">
        <f>IF(J132="","",F132-E132-J132)</f>
        <v/>
      </c>
      <c r="L132" s="5">
        <f>IF(E132="","",K132/E132)</f>
        <v/>
      </c>
      <c r="M132" s="4">
        <f>IF(B132="","",((B132*C132)*(1+$B$2)+2*$H$2)/(B132*(1-$D$2-$F$2)))</f>
        <v/>
      </c>
    </row>
    <row r="133">
      <c r="A133" s="3" t="n"/>
      <c r="C133" s="4" t="n"/>
      <c r="D133" s="4" t="n"/>
      <c r="E133" s="4">
        <f>IF(B133="","",B133*C133)</f>
        <v/>
      </c>
      <c r="F133" s="4">
        <f>IF(B133="","",B133*D133)</f>
        <v/>
      </c>
      <c r="G133" s="4">
        <f>IF(E133="","",ROUNDDOWN(E133*$B$2+$H$2,0))</f>
        <v/>
      </c>
      <c r="H133" s="4">
        <f>IF(F133="","",ROUNDDOWN(F133*$D$2+$H$2,0))</f>
        <v/>
      </c>
      <c r="I133" s="4">
        <f>IF(F133="","",ROUNDDOWN(F133*$F$2,0))</f>
        <v/>
      </c>
      <c r="J133" s="4">
        <f>IF(G133="","",G133+H133+I133)</f>
        <v/>
      </c>
      <c r="K133" s="4">
        <f>IF(J133="","",F133-E133-J133)</f>
        <v/>
      </c>
      <c r="L133" s="5">
        <f>IF(E133="","",K133/E133)</f>
        <v/>
      </c>
      <c r="M133" s="4">
        <f>IF(B133="","",((B133*C133)*(1+$B$2)+2*$H$2)/(B133*(1-$D$2-$F$2)))</f>
        <v/>
      </c>
    </row>
    <row r="134">
      <c r="A134" s="3" t="n"/>
      <c r="C134" s="4" t="n"/>
      <c r="D134" s="4" t="n"/>
      <c r="E134" s="4">
        <f>IF(B134="","",B134*C134)</f>
        <v/>
      </c>
      <c r="F134" s="4">
        <f>IF(B134="","",B134*D134)</f>
        <v/>
      </c>
      <c r="G134" s="4">
        <f>IF(E134="","",ROUNDDOWN(E134*$B$2+$H$2,0))</f>
        <v/>
      </c>
      <c r="H134" s="4">
        <f>IF(F134="","",ROUNDDOWN(F134*$D$2+$H$2,0))</f>
        <v/>
      </c>
      <c r="I134" s="4">
        <f>IF(F134="","",ROUNDDOWN(F134*$F$2,0))</f>
        <v/>
      </c>
      <c r="J134" s="4">
        <f>IF(G134="","",G134+H134+I134)</f>
        <v/>
      </c>
      <c r="K134" s="4">
        <f>IF(J134="","",F134-E134-J134)</f>
        <v/>
      </c>
      <c r="L134" s="5">
        <f>IF(E134="","",K134/E134)</f>
        <v/>
      </c>
      <c r="M134" s="4">
        <f>IF(B134="","",((B134*C134)*(1+$B$2)+2*$H$2)/(B134*(1-$D$2-$F$2)))</f>
        <v/>
      </c>
    </row>
    <row r="135">
      <c r="A135" s="3" t="n"/>
      <c r="C135" s="4" t="n"/>
      <c r="D135" s="4" t="n"/>
      <c r="E135" s="4">
        <f>IF(B135="","",B135*C135)</f>
        <v/>
      </c>
      <c r="F135" s="4">
        <f>IF(B135="","",B135*D135)</f>
        <v/>
      </c>
      <c r="G135" s="4">
        <f>IF(E135="","",ROUNDDOWN(E135*$B$2+$H$2,0))</f>
        <v/>
      </c>
      <c r="H135" s="4">
        <f>IF(F135="","",ROUNDDOWN(F135*$D$2+$H$2,0))</f>
        <v/>
      </c>
      <c r="I135" s="4">
        <f>IF(F135="","",ROUNDDOWN(F135*$F$2,0))</f>
        <v/>
      </c>
      <c r="J135" s="4">
        <f>IF(G135="","",G135+H135+I135)</f>
        <v/>
      </c>
      <c r="K135" s="4">
        <f>IF(J135="","",F135-E135-J135)</f>
        <v/>
      </c>
      <c r="L135" s="5">
        <f>IF(E135="","",K135/E135)</f>
        <v/>
      </c>
      <c r="M135" s="4">
        <f>IF(B135="","",((B135*C135)*(1+$B$2)+2*$H$2)/(B135*(1-$D$2-$F$2)))</f>
        <v/>
      </c>
    </row>
    <row r="136">
      <c r="A136" s="3" t="n"/>
      <c r="C136" s="4" t="n"/>
      <c r="D136" s="4" t="n"/>
      <c r="E136" s="4">
        <f>IF(B136="","",B136*C136)</f>
        <v/>
      </c>
      <c r="F136" s="4">
        <f>IF(B136="","",B136*D136)</f>
        <v/>
      </c>
      <c r="G136" s="4">
        <f>IF(E136="","",ROUNDDOWN(E136*$B$2+$H$2,0))</f>
        <v/>
      </c>
      <c r="H136" s="4">
        <f>IF(F136="","",ROUNDDOWN(F136*$D$2+$H$2,0))</f>
        <v/>
      </c>
      <c r="I136" s="4">
        <f>IF(F136="","",ROUNDDOWN(F136*$F$2,0))</f>
        <v/>
      </c>
      <c r="J136" s="4">
        <f>IF(G136="","",G136+H136+I136)</f>
        <v/>
      </c>
      <c r="K136" s="4">
        <f>IF(J136="","",F136-E136-J136)</f>
        <v/>
      </c>
      <c r="L136" s="5">
        <f>IF(E136="","",K136/E136)</f>
        <v/>
      </c>
      <c r="M136" s="4">
        <f>IF(B136="","",((B136*C136)*(1+$B$2)+2*$H$2)/(B136*(1-$D$2-$F$2)))</f>
        <v/>
      </c>
    </row>
    <row r="137">
      <c r="A137" s="3" t="n"/>
      <c r="C137" s="4" t="n"/>
      <c r="D137" s="4" t="n"/>
      <c r="E137" s="4">
        <f>IF(B137="","",B137*C137)</f>
        <v/>
      </c>
      <c r="F137" s="4">
        <f>IF(B137="","",B137*D137)</f>
        <v/>
      </c>
      <c r="G137" s="4">
        <f>IF(E137="","",ROUNDDOWN(E137*$B$2+$H$2,0))</f>
        <v/>
      </c>
      <c r="H137" s="4">
        <f>IF(F137="","",ROUNDDOWN(F137*$D$2+$H$2,0))</f>
        <v/>
      </c>
      <c r="I137" s="4">
        <f>IF(F137="","",ROUNDDOWN(F137*$F$2,0))</f>
        <v/>
      </c>
      <c r="J137" s="4">
        <f>IF(G137="","",G137+H137+I137)</f>
        <v/>
      </c>
      <c r="K137" s="4">
        <f>IF(J137="","",F137-E137-J137)</f>
        <v/>
      </c>
      <c r="L137" s="5">
        <f>IF(E137="","",K137/E137)</f>
        <v/>
      </c>
      <c r="M137" s="4">
        <f>IF(B137="","",((B137*C137)*(1+$B$2)+2*$H$2)/(B137*(1-$D$2-$F$2)))</f>
        <v/>
      </c>
    </row>
    <row r="138">
      <c r="A138" s="3" t="n"/>
      <c r="C138" s="4" t="n"/>
      <c r="D138" s="4" t="n"/>
      <c r="E138" s="4">
        <f>IF(B138="","",B138*C138)</f>
        <v/>
      </c>
      <c r="F138" s="4">
        <f>IF(B138="","",B138*D138)</f>
        <v/>
      </c>
      <c r="G138" s="4">
        <f>IF(E138="","",ROUNDDOWN(E138*$B$2+$H$2,0))</f>
        <v/>
      </c>
      <c r="H138" s="4">
        <f>IF(F138="","",ROUNDDOWN(F138*$D$2+$H$2,0))</f>
        <v/>
      </c>
      <c r="I138" s="4">
        <f>IF(F138="","",ROUNDDOWN(F138*$F$2,0))</f>
        <v/>
      </c>
      <c r="J138" s="4">
        <f>IF(G138="","",G138+H138+I138)</f>
        <v/>
      </c>
      <c r="K138" s="4">
        <f>IF(J138="","",F138-E138-J138)</f>
        <v/>
      </c>
      <c r="L138" s="5">
        <f>IF(E138="","",K138/E138)</f>
        <v/>
      </c>
      <c r="M138" s="4">
        <f>IF(B138="","",((B138*C138)*(1+$B$2)+2*$H$2)/(B138*(1-$D$2-$F$2)))</f>
        <v/>
      </c>
    </row>
    <row r="139">
      <c r="A139" s="3" t="n"/>
      <c r="C139" s="4" t="n"/>
      <c r="D139" s="4" t="n"/>
      <c r="E139" s="4">
        <f>IF(B139="","",B139*C139)</f>
        <v/>
      </c>
      <c r="F139" s="4">
        <f>IF(B139="","",B139*D139)</f>
        <v/>
      </c>
      <c r="G139" s="4">
        <f>IF(E139="","",ROUNDDOWN(E139*$B$2+$H$2,0))</f>
        <v/>
      </c>
      <c r="H139" s="4">
        <f>IF(F139="","",ROUNDDOWN(F139*$D$2+$H$2,0))</f>
        <v/>
      </c>
      <c r="I139" s="4">
        <f>IF(F139="","",ROUNDDOWN(F139*$F$2,0))</f>
        <v/>
      </c>
      <c r="J139" s="4">
        <f>IF(G139="","",G139+H139+I139)</f>
        <v/>
      </c>
      <c r="K139" s="4">
        <f>IF(J139="","",F139-E139-J139)</f>
        <v/>
      </c>
      <c r="L139" s="5">
        <f>IF(E139="","",K139/E139)</f>
        <v/>
      </c>
      <c r="M139" s="4">
        <f>IF(B139="","",((B139*C139)*(1+$B$2)+2*$H$2)/(B139*(1-$D$2-$F$2)))</f>
        <v/>
      </c>
    </row>
    <row r="140">
      <c r="A140" s="3" t="n"/>
      <c r="C140" s="4" t="n"/>
      <c r="D140" s="4" t="n"/>
      <c r="E140" s="4">
        <f>IF(B140="","",B140*C140)</f>
        <v/>
      </c>
      <c r="F140" s="4">
        <f>IF(B140="","",B140*D140)</f>
        <v/>
      </c>
      <c r="G140" s="4">
        <f>IF(E140="","",ROUNDDOWN(E140*$B$2+$H$2,0))</f>
        <v/>
      </c>
      <c r="H140" s="4">
        <f>IF(F140="","",ROUNDDOWN(F140*$D$2+$H$2,0))</f>
        <v/>
      </c>
      <c r="I140" s="4">
        <f>IF(F140="","",ROUNDDOWN(F140*$F$2,0))</f>
        <v/>
      </c>
      <c r="J140" s="4">
        <f>IF(G140="","",G140+H140+I140)</f>
        <v/>
      </c>
      <c r="K140" s="4">
        <f>IF(J140="","",F140-E140-J140)</f>
        <v/>
      </c>
      <c r="L140" s="5">
        <f>IF(E140="","",K140/E140)</f>
        <v/>
      </c>
      <c r="M140" s="4">
        <f>IF(B140="","",((B140*C140)*(1+$B$2)+2*$H$2)/(B140*(1-$D$2-$F$2)))</f>
        <v/>
      </c>
    </row>
    <row r="141">
      <c r="A141" s="3" t="n"/>
      <c r="C141" s="4" t="n"/>
      <c r="D141" s="4" t="n"/>
      <c r="E141" s="4">
        <f>IF(B141="","",B141*C141)</f>
        <v/>
      </c>
      <c r="F141" s="4">
        <f>IF(B141="","",B141*D141)</f>
        <v/>
      </c>
      <c r="G141" s="4">
        <f>IF(E141="","",ROUNDDOWN(E141*$B$2+$H$2,0))</f>
        <v/>
      </c>
      <c r="H141" s="4">
        <f>IF(F141="","",ROUNDDOWN(F141*$D$2+$H$2,0))</f>
        <v/>
      </c>
      <c r="I141" s="4">
        <f>IF(F141="","",ROUNDDOWN(F141*$F$2,0))</f>
        <v/>
      </c>
      <c r="J141" s="4">
        <f>IF(G141="","",G141+H141+I141)</f>
        <v/>
      </c>
      <c r="K141" s="4">
        <f>IF(J141="","",F141-E141-J141)</f>
        <v/>
      </c>
      <c r="L141" s="5">
        <f>IF(E141="","",K141/E141)</f>
        <v/>
      </c>
      <c r="M141" s="4">
        <f>IF(B141="","",((B141*C141)*(1+$B$2)+2*$H$2)/(B141*(1-$D$2-$F$2)))</f>
        <v/>
      </c>
    </row>
    <row r="142">
      <c r="A142" s="3" t="n"/>
      <c r="C142" s="4" t="n"/>
      <c r="D142" s="4" t="n"/>
      <c r="E142" s="4">
        <f>IF(B142="","",B142*C142)</f>
        <v/>
      </c>
      <c r="F142" s="4">
        <f>IF(B142="","",B142*D142)</f>
        <v/>
      </c>
      <c r="G142" s="4">
        <f>IF(E142="","",ROUNDDOWN(E142*$B$2+$H$2,0))</f>
        <v/>
      </c>
      <c r="H142" s="4">
        <f>IF(F142="","",ROUNDDOWN(F142*$D$2+$H$2,0))</f>
        <v/>
      </c>
      <c r="I142" s="4">
        <f>IF(F142="","",ROUNDDOWN(F142*$F$2,0))</f>
        <v/>
      </c>
      <c r="J142" s="4">
        <f>IF(G142="","",G142+H142+I142)</f>
        <v/>
      </c>
      <c r="K142" s="4">
        <f>IF(J142="","",F142-E142-J142)</f>
        <v/>
      </c>
      <c r="L142" s="5">
        <f>IF(E142="","",K142/E142)</f>
        <v/>
      </c>
      <c r="M142" s="4">
        <f>IF(B142="","",((B142*C142)*(1+$B$2)+2*$H$2)/(B142*(1-$D$2-$F$2)))</f>
        <v/>
      </c>
    </row>
    <row r="143">
      <c r="A143" s="3" t="n"/>
      <c r="C143" s="4" t="n"/>
      <c r="D143" s="4" t="n"/>
      <c r="E143" s="4">
        <f>IF(B143="","",B143*C143)</f>
        <v/>
      </c>
      <c r="F143" s="4">
        <f>IF(B143="","",B143*D143)</f>
        <v/>
      </c>
      <c r="G143" s="4">
        <f>IF(E143="","",ROUNDDOWN(E143*$B$2+$H$2,0))</f>
        <v/>
      </c>
      <c r="H143" s="4">
        <f>IF(F143="","",ROUNDDOWN(F143*$D$2+$H$2,0))</f>
        <v/>
      </c>
      <c r="I143" s="4">
        <f>IF(F143="","",ROUNDDOWN(F143*$F$2,0))</f>
        <v/>
      </c>
      <c r="J143" s="4">
        <f>IF(G143="","",G143+H143+I143)</f>
        <v/>
      </c>
      <c r="K143" s="4">
        <f>IF(J143="","",F143-E143-J143)</f>
        <v/>
      </c>
      <c r="L143" s="5">
        <f>IF(E143="","",K143/E143)</f>
        <v/>
      </c>
      <c r="M143" s="4">
        <f>IF(B143="","",((B143*C143)*(1+$B$2)+2*$H$2)/(B143*(1-$D$2-$F$2)))</f>
        <v/>
      </c>
    </row>
    <row r="144">
      <c r="A144" s="3" t="n"/>
      <c r="C144" s="4" t="n"/>
      <c r="D144" s="4" t="n"/>
      <c r="E144" s="4">
        <f>IF(B144="","",B144*C144)</f>
        <v/>
      </c>
      <c r="F144" s="4">
        <f>IF(B144="","",B144*D144)</f>
        <v/>
      </c>
      <c r="G144" s="4">
        <f>IF(E144="","",ROUNDDOWN(E144*$B$2+$H$2,0))</f>
        <v/>
      </c>
      <c r="H144" s="4">
        <f>IF(F144="","",ROUNDDOWN(F144*$D$2+$H$2,0))</f>
        <v/>
      </c>
      <c r="I144" s="4">
        <f>IF(F144="","",ROUNDDOWN(F144*$F$2,0))</f>
        <v/>
      </c>
      <c r="J144" s="4">
        <f>IF(G144="","",G144+H144+I144)</f>
        <v/>
      </c>
      <c r="K144" s="4">
        <f>IF(J144="","",F144-E144-J144)</f>
        <v/>
      </c>
      <c r="L144" s="5">
        <f>IF(E144="","",K144/E144)</f>
        <v/>
      </c>
      <c r="M144" s="4">
        <f>IF(B144="","",((B144*C144)*(1+$B$2)+2*$H$2)/(B144*(1-$D$2-$F$2)))</f>
        <v/>
      </c>
    </row>
    <row r="145">
      <c r="A145" s="3" t="n"/>
      <c r="C145" s="4" t="n"/>
      <c r="D145" s="4" t="n"/>
      <c r="E145" s="4">
        <f>IF(B145="","",B145*C145)</f>
        <v/>
      </c>
      <c r="F145" s="4">
        <f>IF(B145="","",B145*D145)</f>
        <v/>
      </c>
      <c r="G145" s="4">
        <f>IF(E145="","",ROUNDDOWN(E145*$B$2+$H$2,0))</f>
        <v/>
      </c>
      <c r="H145" s="4">
        <f>IF(F145="","",ROUNDDOWN(F145*$D$2+$H$2,0))</f>
        <v/>
      </c>
      <c r="I145" s="4">
        <f>IF(F145="","",ROUNDDOWN(F145*$F$2,0))</f>
        <v/>
      </c>
      <c r="J145" s="4">
        <f>IF(G145="","",G145+H145+I145)</f>
        <v/>
      </c>
      <c r="K145" s="4">
        <f>IF(J145="","",F145-E145-J145)</f>
        <v/>
      </c>
      <c r="L145" s="5">
        <f>IF(E145="","",K145/E145)</f>
        <v/>
      </c>
      <c r="M145" s="4">
        <f>IF(B145="","",((B145*C145)*(1+$B$2)+2*$H$2)/(B145*(1-$D$2-$F$2)))</f>
        <v/>
      </c>
    </row>
    <row r="146">
      <c r="A146" s="3" t="n"/>
      <c r="C146" s="4" t="n"/>
      <c r="D146" s="4" t="n"/>
      <c r="E146" s="4">
        <f>IF(B146="","",B146*C146)</f>
        <v/>
      </c>
      <c r="F146" s="4">
        <f>IF(B146="","",B146*D146)</f>
        <v/>
      </c>
      <c r="G146" s="4">
        <f>IF(E146="","",ROUNDDOWN(E146*$B$2+$H$2,0))</f>
        <v/>
      </c>
      <c r="H146" s="4">
        <f>IF(F146="","",ROUNDDOWN(F146*$D$2+$H$2,0))</f>
        <v/>
      </c>
      <c r="I146" s="4">
        <f>IF(F146="","",ROUNDDOWN(F146*$F$2,0))</f>
        <v/>
      </c>
      <c r="J146" s="4">
        <f>IF(G146="","",G146+H146+I146)</f>
        <v/>
      </c>
      <c r="K146" s="4">
        <f>IF(J146="","",F146-E146-J146)</f>
        <v/>
      </c>
      <c r="L146" s="5">
        <f>IF(E146="","",K146/E146)</f>
        <v/>
      </c>
      <c r="M146" s="4">
        <f>IF(B146="","",((B146*C146)*(1+$B$2)+2*$H$2)/(B146*(1-$D$2-$F$2)))</f>
        <v/>
      </c>
    </row>
    <row r="147">
      <c r="A147" s="3" t="n"/>
      <c r="C147" s="4" t="n"/>
      <c r="D147" s="4" t="n"/>
      <c r="E147" s="4">
        <f>IF(B147="","",B147*C147)</f>
        <v/>
      </c>
      <c r="F147" s="4">
        <f>IF(B147="","",B147*D147)</f>
        <v/>
      </c>
      <c r="G147" s="4">
        <f>IF(E147="","",ROUNDDOWN(E147*$B$2+$H$2,0))</f>
        <v/>
      </c>
      <c r="H147" s="4">
        <f>IF(F147="","",ROUNDDOWN(F147*$D$2+$H$2,0))</f>
        <v/>
      </c>
      <c r="I147" s="4">
        <f>IF(F147="","",ROUNDDOWN(F147*$F$2,0))</f>
        <v/>
      </c>
      <c r="J147" s="4">
        <f>IF(G147="","",G147+H147+I147)</f>
        <v/>
      </c>
      <c r="K147" s="4">
        <f>IF(J147="","",F147-E147-J147)</f>
        <v/>
      </c>
      <c r="L147" s="5">
        <f>IF(E147="","",K147/E147)</f>
        <v/>
      </c>
      <c r="M147" s="4">
        <f>IF(B147="","",((B147*C147)*(1+$B$2)+2*$H$2)/(B147*(1-$D$2-$F$2)))</f>
        <v/>
      </c>
    </row>
    <row r="148">
      <c r="A148" s="3" t="n"/>
      <c r="C148" s="4" t="n"/>
      <c r="D148" s="4" t="n"/>
      <c r="E148" s="4">
        <f>IF(B148="","",B148*C148)</f>
        <v/>
      </c>
      <c r="F148" s="4">
        <f>IF(B148="","",B148*D148)</f>
        <v/>
      </c>
      <c r="G148" s="4">
        <f>IF(E148="","",ROUNDDOWN(E148*$B$2+$H$2,0))</f>
        <v/>
      </c>
      <c r="H148" s="4">
        <f>IF(F148="","",ROUNDDOWN(F148*$D$2+$H$2,0))</f>
        <v/>
      </c>
      <c r="I148" s="4">
        <f>IF(F148="","",ROUNDDOWN(F148*$F$2,0))</f>
        <v/>
      </c>
      <c r="J148" s="4">
        <f>IF(G148="","",G148+H148+I148)</f>
        <v/>
      </c>
      <c r="K148" s="4">
        <f>IF(J148="","",F148-E148-J148)</f>
        <v/>
      </c>
      <c r="L148" s="5">
        <f>IF(E148="","",K148/E148)</f>
        <v/>
      </c>
      <c r="M148" s="4">
        <f>IF(B148="","",((B148*C148)*(1+$B$2)+2*$H$2)/(B148*(1-$D$2-$F$2)))</f>
        <v/>
      </c>
    </row>
    <row r="149">
      <c r="A149" s="3" t="n"/>
      <c r="C149" s="4" t="n"/>
      <c r="D149" s="4" t="n"/>
      <c r="E149" s="4">
        <f>IF(B149="","",B149*C149)</f>
        <v/>
      </c>
      <c r="F149" s="4">
        <f>IF(B149="","",B149*D149)</f>
        <v/>
      </c>
      <c r="G149" s="4">
        <f>IF(E149="","",ROUNDDOWN(E149*$B$2+$H$2,0))</f>
        <v/>
      </c>
      <c r="H149" s="4">
        <f>IF(F149="","",ROUNDDOWN(F149*$D$2+$H$2,0))</f>
        <v/>
      </c>
      <c r="I149" s="4">
        <f>IF(F149="","",ROUNDDOWN(F149*$F$2,0))</f>
        <v/>
      </c>
      <c r="J149" s="4">
        <f>IF(G149="","",G149+H149+I149)</f>
        <v/>
      </c>
      <c r="K149" s="4">
        <f>IF(J149="","",F149-E149-J149)</f>
        <v/>
      </c>
      <c r="L149" s="5">
        <f>IF(E149="","",K149/E149)</f>
        <v/>
      </c>
      <c r="M149" s="4">
        <f>IF(B149="","",((B149*C149)*(1+$B$2)+2*$H$2)/(B149*(1-$D$2-$F$2)))</f>
        <v/>
      </c>
    </row>
    <row r="150">
      <c r="A150" s="3" t="n"/>
      <c r="C150" s="4" t="n"/>
      <c r="D150" s="4" t="n"/>
      <c r="E150" s="4">
        <f>IF(B150="","",B150*C150)</f>
        <v/>
      </c>
      <c r="F150" s="4">
        <f>IF(B150="","",B150*D150)</f>
        <v/>
      </c>
      <c r="G150" s="4">
        <f>IF(E150="","",ROUNDDOWN(E150*$B$2+$H$2,0))</f>
        <v/>
      </c>
      <c r="H150" s="4">
        <f>IF(F150="","",ROUNDDOWN(F150*$D$2+$H$2,0))</f>
        <v/>
      </c>
      <c r="I150" s="4">
        <f>IF(F150="","",ROUNDDOWN(F150*$F$2,0))</f>
        <v/>
      </c>
      <c r="J150" s="4">
        <f>IF(G150="","",G150+H150+I150)</f>
        <v/>
      </c>
      <c r="K150" s="4">
        <f>IF(J150="","",F150-E150-J150)</f>
        <v/>
      </c>
      <c r="L150" s="5">
        <f>IF(E150="","",K150/E150)</f>
        <v/>
      </c>
      <c r="M150" s="4">
        <f>IF(B150="","",((B150*C150)*(1+$B$2)+2*$H$2)/(B150*(1-$D$2-$F$2)))</f>
        <v/>
      </c>
    </row>
    <row r="151">
      <c r="A151" s="3" t="n"/>
      <c r="C151" s="4" t="n"/>
      <c r="D151" s="4" t="n"/>
      <c r="E151" s="4">
        <f>IF(B151="","",B151*C151)</f>
        <v/>
      </c>
      <c r="F151" s="4">
        <f>IF(B151="","",B151*D151)</f>
        <v/>
      </c>
      <c r="G151" s="4">
        <f>IF(E151="","",ROUNDDOWN(E151*$B$2+$H$2,0))</f>
        <v/>
      </c>
      <c r="H151" s="4">
        <f>IF(F151="","",ROUNDDOWN(F151*$D$2+$H$2,0))</f>
        <v/>
      </c>
      <c r="I151" s="4">
        <f>IF(F151="","",ROUNDDOWN(F151*$F$2,0))</f>
        <v/>
      </c>
      <c r="J151" s="4">
        <f>IF(G151="","",G151+H151+I151)</f>
        <v/>
      </c>
      <c r="K151" s="4">
        <f>IF(J151="","",F151-E151-J151)</f>
        <v/>
      </c>
      <c r="L151" s="5">
        <f>IF(E151="","",K151/E151)</f>
        <v/>
      </c>
      <c r="M151" s="4">
        <f>IF(B151="","",((B151*C151)*(1+$B$2)+2*$H$2)/(B151*(1-$D$2-$F$2)))</f>
        <v/>
      </c>
    </row>
    <row r="152">
      <c r="A152" s="3" t="n"/>
      <c r="C152" s="4" t="n"/>
      <c r="D152" s="4" t="n"/>
      <c r="E152" s="4">
        <f>IF(B152="","",B152*C152)</f>
        <v/>
      </c>
      <c r="F152" s="4">
        <f>IF(B152="","",B152*D152)</f>
        <v/>
      </c>
      <c r="G152" s="4">
        <f>IF(E152="","",ROUNDDOWN(E152*$B$2+$H$2,0))</f>
        <v/>
      </c>
      <c r="H152" s="4">
        <f>IF(F152="","",ROUNDDOWN(F152*$D$2+$H$2,0))</f>
        <v/>
      </c>
      <c r="I152" s="4">
        <f>IF(F152="","",ROUNDDOWN(F152*$F$2,0))</f>
        <v/>
      </c>
      <c r="J152" s="4">
        <f>IF(G152="","",G152+H152+I152)</f>
        <v/>
      </c>
      <c r="K152" s="4">
        <f>IF(J152="","",F152-E152-J152)</f>
        <v/>
      </c>
      <c r="L152" s="5">
        <f>IF(E152="","",K152/E152)</f>
        <v/>
      </c>
      <c r="M152" s="4">
        <f>IF(B152="","",((B152*C152)*(1+$B$2)+2*$H$2)/(B152*(1-$D$2-$F$2)))</f>
        <v/>
      </c>
    </row>
    <row r="153">
      <c r="A153" s="3" t="n"/>
      <c r="C153" s="4" t="n"/>
      <c r="D153" s="4" t="n"/>
      <c r="E153" s="4">
        <f>IF(B153="","",B153*C153)</f>
        <v/>
      </c>
      <c r="F153" s="4">
        <f>IF(B153="","",B153*D153)</f>
        <v/>
      </c>
      <c r="G153" s="4">
        <f>IF(E153="","",ROUNDDOWN(E153*$B$2+$H$2,0))</f>
        <v/>
      </c>
      <c r="H153" s="4">
        <f>IF(F153="","",ROUNDDOWN(F153*$D$2+$H$2,0))</f>
        <v/>
      </c>
      <c r="I153" s="4">
        <f>IF(F153="","",ROUNDDOWN(F153*$F$2,0))</f>
        <v/>
      </c>
      <c r="J153" s="4">
        <f>IF(G153="","",G153+H153+I153)</f>
        <v/>
      </c>
      <c r="K153" s="4">
        <f>IF(J153="","",F153-E153-J153)</f>
        <v/>
      </c>
      <c r="L153" s="5">
        <f>IF(E153="","",K153/E153)</f>
        <v/>
      </c>
      <c r="M153" s="4">
        <f>IF(B153="","",((B153*C153)*(1+$B$2)+2*$H$2)/(B153*(1-$D$2-$F$2)))</f>
        <v/>
      </c>
    </row>
    <row r="154">
      <c r="A154" s="3" t="n"/>
      <c r="C154" s="4" t="n"/>
      <c r="D154" s="4" t="n"/>
      <c r="E154" s="4">
        <f>IF(B154="","",B154*C154)</f>
        <v/>
      </c>
      <c r="F154" s="4">
        <f>IF(B154="","",B154*D154)</f>
        <v/>
      </c>
      <c r="G154" s="4">
        <f>IF(E154="","",ROUNDDOWN(E154*$B$2+$H$2,0))</f>
        <v/>
      </c>
      <c r="H154" s="4">
        <f>IF(F154="","",ROUNDDOWN(F154*$D$2+$H$2,0))</f>
        <v/>
      </c>
      <c r="I154" s="4">
        <f>IF(F154="","",ROUNDDOWN(F154*$F$2,0))</f>
        <v/>
      </c>
      <c r="J154" s="4">
        <f>IF(G154="","",G154+H154+I154)</f>
        <v/>
      </c>
      <c r="K154" s="4">
        <f>IF(J154="","",F154-E154-J154)</f>
        <v/>
      </c>
      <c r="L154" s="5">
        <f>IF(E154="","",K154/E154)</f>
        <v/>
      </c>
      <c r="M154" s="4">
        <f>IF(B154="","",((B154*C154)*(1+$B$2)+2*$H$2)/(B154*(1-$D$2-$F$2)))</f>
        <v/>
      </c>
    </row>
    <row r="155">
      <c r="A155" s="3" t="n"/>
      <c r="C155" s="4" t="n"/>
      <c r="D155" s="4" t="n"/>
      <c r="E155" s="4">
        <f>IF(B155="","",B155*C155)</f>
        <v/>
      </c>
      <c r="F155" s="4">
        <f>IF(B155="","",B155*D155)</f>
        <v/>
      </c>
      <c r="G155" s="4">
        <f>IF(E155="","",ROUNDDOWN(E155*$B$2+$H$2,0))</f>
        <v/>
      </c>
      <c r="H155" s="4">
        <f>IF(F155="","",ROUNDDOWN(F155*$D$2+$H$2,0))</f>
        <v/>
      </c>
      <c r="I155" s="4">
        <f>IF(F155="","",ROUNDDOWN(F155*$F$2,0))</f>
        <v/>
      </c>
      <c r="J155" s="4">
        <f>IF(G155="","",G155+H155+I155)</f>
        <v/>
      </c>
      <c r="K155" s="4">
        <f>IF(J155="","",F155-E155-J155)</f>
        <v/>
      </c>
      <c r="L155" s="5">
        <f>IF(E155="","",K155/E155)</f>
        <v/>
      </c>
      <c r="M155" s="4">
        <f>IF(B155="","",((B155*C155)*(1+$B$2)+2*$H$2)/(B155*(1-$D$2-$F$2)))</f>
        <v/>
      </c>
    </row>
    <row r="156">
      <c r="A156" s="3" t="n"/>
      <c r="C156" s="4" t="n"/>
      <c r="D156" s="4" t="n"/>
      <c r="E156" s="4">
        <f>IF(B156="","",B156*C156)</f>
        <v/>
      </c>
      <c r="F156" s="4">
        <f>IF(B156="","",B156*D156)</f>
        <v/>
      </c>
      <c r="G156" s="4">
        <f>IF(E156="","",ROUNDDOWN(E156*$B$2+$H$2,0))</f>
        <v/>
      </c>
      <c r="H156" s="4">
        <f>IF(F156="","",ROUNDDOWN(F156*$D$2+$H$2,0))</f>
        <v/>
      </c>
      <c r="I156" s="4">
        <f>IF(F156="","",ROUNDDOWN(F156*$F$2,0))</f>
        <v/>
      </c>
      <c r="J156" s="4">
        <f>IF(G156="","",G156+H156+I156)</f>
        <v/>
      </c>
      <c r="K156" s="4">
        <f>IF(J156="","",F156-E156-J156)</f>
        <v/>
      </c>
      <c r="L156" s="5">
        <f>IF(E156="","",K156/E156)</f>
        <v/>
      </c>
      <c r="M156" s="4">
        <f>IF(B156="","",((B156*C156)*(1+$B$2)+2*$H$2)/(B156*(1-$D$2-$F$2)))</f>
        <v/>
      </c>
    </row>
    <row r="157">
      <c r="A157" s="3" t="n"/>
      <c r="C157" s="4" t="n"/>
      <c r="D157" s="4" t="n"/>
      <c r="E157" s="4">
        <f>IF(B157="","",B157*C157)</f>
        <v/>
      </c>
      <c r="F157" s="4">
        <f>IF(B157="","",B157*D157)</f>
        <v/>
      </c>
      <c r="G157" s="4">
        <f>IF(E157="","",ROUNDDOWN(E157*$B$2+$H$2,0))</f>
        <v/>
      </c>
      <c r="H157" s="4">
        <f>IF(F157="","",ROUNDDOWN(F157*$D$2+$H$2,0))</f>
        <v/>
      </c>
      <c r="I157" s="4">
        <f>IF(F157="","",ROUNDDOWN(F157*$F$2,0))</f>
        <v/>
      </c>
      <c r="J157" s="4">
        <f>IF(G157="","",G157+H157+I157)</f>
        <v/>
      </c>
      <c r="K157" s="4">
        <f>IF(J157="","",F157-E157-J157)</f>
        <v/>
      </c>
      <c r="L157" s="5">
        <f>IF(E157="","",K157/E157)</f>
        <v/>
      </c>
      <c r="M157" s="4">
        <f>IF(B157="","",((B157*C157)*(1+$B$2)+2*$H$2)/(B157*(1-$D$2-$F$2)))</f>
        <v/>
      </c>
    </row>
    <row r="158">
      <c r="A158" s="3" t="n"/>
      <c r="C158" s="4" t="n"/>
      <c r="D158" s="4" t="n"/>
      <c r="E158" s="4">
        <f>IF(B158="","",B158*C158)</f>
        <v/>
      </c>
      <c r="F158" s="4">
        <f>IF(B158="","",B158*D158)</f>
        <v/>
      </c>
      <c r="G158" s="4">
        <f>IF(E158="","",ROUNDDOWN(E158*$B$2+$H$2,0))</f>
        <v/>
      </c>
      <c r="H158" s="4">
        <f>IF(F158="","",ROUNDDOWN(F158*$D$2+$H$2,0))</f>
        <v/>
      </c>
      <c r="I158" s="4">
        <f>IF(F158="","",ROUNDDOWN(F158*$F$2,0))</f>
        <v/>
      </c>
      <c r="J158" s="4">
        <f>IF(G158="","",G158+H158+I158)</f>
        <v/>
      </c>
      <c r="K158" s="4">
        <f>IF(J158="","",F158-E158-J158)</f>
        <v/>
      </c>
      <c r="L158" s="5">
        <f>IF(E158="","",K158/E158)</f>
        <v/>
      </c>
      <c r="M158" s="4">
        <f>IF(B158="","",((B158*C158)*(1+$B$2)+2*$H$2)/(B158*(1-$D$2-$F$2)))</f>
        <v/>
      </c>
    </row>
    <row r="159">
      <c r="A159" s="3" t="n"/>
      <c r="C159" s="4" t="n"/>
      <c r="D159" s="4" t="n"/>
      <c r="E159" s="4">
        <f>IF(B159="","",B159*C159)</f>
        <v/>
      </c>
      <c r="F159" s="4">
        <f>IF(B159="","",B159*D159)</f>
        <v/>
      </c>
      <c r="G159" s="4">
        <f>IF(E159="","",ROUNDDOWN(E159*$B$2+$H$2,0))</f>
        <v/>
      </c>
      <c r="H159" s="4">
        <f>IF(F159="","",ROUNDDOWN(F159*$D$2+$H$2,0))</f>
        <v/>
      </c>
      <c r="I159" s="4">
        <f>IF(F159="","",ROUNDDOWN(F159*$F$2,0))</f>
        <v/>
      </c>
      <c r="J159" s="4">
        <f>IF(G159="","",G159+H159+I159)</f>
        <v/>
      </c>
      <c r="K159" s="4">
        <f>IF(J159="","",F159-E159-J159)</f>
        <v/>
      </c>
      <c r="L159" s="5">
        <f>IF(E159="","",K159/E159)</f>
        <v/>
      </c>
      <c r="M159" s="4">
        <f>IF(B159="","",((B159*C159)*(1+$B$2)+2*$H$2)/(B159*(1-$D$2-$F$2)))</f>
        <v/>
      </c>
    </row>
    <row r="160">
      <c r="A160" s="3" t="n"/>
      <c r="C160" s="4" t="n"/>
      <c r="D160" s="4" t="n"/>
      <c r="E160" s="4">
        <f>IF(B160="","",B160*C160)</f>
        <v/>
      </c>
      <c r="F160" s="4">
        <f>IF(B160="","",B160*D160)</f>
        <v/>
      </c>
      <c r="G160" s="4">
        <f>IF(E160="","",ROUNDDOWN(E160*$B$2+$H$2,0))</f>
        <v/>
      </c>
      <c r="H160" s="4">
        <f>IF(F160="","",ROUNDDOWN(F160*$D$2+$H$2,0))</f>
        <v/>
      </c>
      <c r="I160" s="4">
        <f>IF(F160="","",ROUNDDOWN(F160*$F$2,0))</f>
        <v/>
      </c>
      <c r="J160" s="4">
        <f>IF(G160="","",G160+H160+I160)</f>
        <v/>
      </c>
      <c r="K160" s="4">
        <f>IF(J160="","",F160-E160-J160)</f>
        <v/>
      </c>
      <c r="L160" s="5">
        <f>IF(E160="","",K160/E160)</f>
        <v/>
      </c>
      <c r="M160" s="4">
        <f>IF(B160="","",((B160*C160)*(1+$B$2)+2*$H$2)/(B160*(1-$D$2-$F$2)))</f>
        <v/>
      </c>
    </row>
    <row r="161">
      <c r="A161" s="3" t="n"/>
      <c r="C161" s="4" t="n"/>
      <c r="D161" s="4" t="n"/>
      <c r="E161" s="4">
        <f>IF(B161="","",B161*C161)</f>
        <v/>
      </c>
      <c r="F161" s="4">
        <f>IF(B161="","",B161*D161)</f>
        <v/>
      </c>
      <c r="G161" s="4">
        <f>IF(E161="","",ROUNDDOWN(E161*$B$2+$H$2,0))</f>
        <v/>
      </c>
      <c r="H161" s="4">
        <f>IF(F161="","",ROUNDDOWN(F161*$D$2+$H$2,0))</f>
        <v/>
      </c>
      <c r="I161" s="4">
        <f>IF(F161="","",ROUNDDOWN(F161*$F$2,0))</f>
        <v/>
      </c>
      <c r="J161" s="4">
        <f>IF(G161="","",G161+H161+I161)</f>
        <v/>
      </c>
      <c r="K161" s="4">
        <f>IF(J161="","",F161-E161-J161)</f>
        <v/>
      </c>
      <c r="L161" s="5">
        <f>IF(E161="","",K161/E161)</f>
        <v/>
      </c>
      <c r="M161" s="4">
        <f>IF(B161="","",((B161*C161)*(1+$B$2)+2*$H$2)/(B161*(1-$D$2-$F$2)))</f>
        <v/>
      </c>
    </row>
    <row r="162">
      <c r="A162" s="3" t="n"/>
      <c r="C162" s="4" t="n"/>
      <c r="D162" s="4" t="n"/>
      <c r="E162" s="4">
        <f>IF(B162="","",B162*C162)</f>
        <v/>
      </c>
      <c r="F162" s="4">
        <f>IF(B162="","",B162*D162)</f>
        <v/>
      </c>
      <c r="G162" s="4">
        <f>IF(E162="","",ROUNDDOWN(E162*$B$2+$H$2,0))</f>
        <v/>
      </c>
      <c r="H162" s="4">
        <f>IF(F162="","",ROUNDDOWN(F162*$D$2+$H$2,0))</f>
        <v/>
      </c>
      <c r="I162" s="4">
        <f>IF(F162="","",ROUNDDOWN(F162*$F$2,0))</f>
        <v/>
      </c>
      <c r="J162" s="4">
        <f>IF(G162="","",G162+H162+I162)</f>
        <v/>
      </c>
      <c r="K162" s="4">
        <f>IF(J162="","",F162-E162-J162)</f>
        <v/>
      </c>
      <c r="L162" s="5">
        <f>IF(E162="","",K162/E162)</f>
        <v/>
      </c>
      <c r="M162" s="4">
        <f>IF(B162="","",((B162*C162)*(1+$B$2)+2*$H$2)/(B162*(1-$D$2-$F$2)))</f>
        <v/>
      </c>
    </row>
    <row r="163">
      <c r="A163" s="3" t="n"/>
      <c r="C163" s="4" t="n"/>
      <c r="D163" s="4" t="n"/>
      <c r="E163" s="4">
        <f>IF(B163="","",B163*C163)</f>
        <v/>
      </c>
      <c r="F163" s="4">
        <f>IF(B163="","",B163*D163)</f>
        <v/>
      </c>
      <c r="G163" s="4">
        <f>IF(E163="","",ROUNDDOWN(E163*$B$2+$H$2,0))</f>
        <v/>
      </c>
      <c r="H163" s="4">
        <f>IF(F163="","",ROUNDDOWN(F163*$D$2+$H$2,0))</f>
        <v/>
      </c>
      <c r="I163" s="4">
        <f>IF(F163="","",ROUNDDOWN(F163*$F$2,0))</f>
        <v/>
      </c>
      <c r="J163" s="4">
        <f>IF(G163="","",G163+H163+I163)</f>
        <v/>
      </c>
      <c r="K163" s="4">
        <f>IF(J163="","",F163-E163-J163)</f>
        <v/>
      </c>
      <c r="L163" s="5">
        <f>IF(E163="","",K163/E163)</f>
        <v/>
      </c>
      <c r="M163" s="4">
        <f>IF(B163="","",((B163*C163)*(1+$B$2)+2*$H$2)/(B163*(1-$D$2-$F$2)))</f>
        <v/>
      </c>
    </row>
    <row r="164">
      <c r="A164" s="3" t="n"/>
      <c r="C164" s="4" t="n"/>
      <c r="D164" s="4" t="n"/>
      <c r="E164" s="4">
        <f>IF(B164="","",B164*C164)</f>
        <v/>
      </c>
      <c r="F164" s="4">
        <f>IF(B164="","",B164*D164)</f>
        <v/>
      </c>
      <c r="G164" s="4">
        <f>IF(E164="","",ROUNDDOWN(E164*$B$2+$H$2,0))</f>
        <v/>
      </c>
      <c r="H164" s="4">
        <f>IF(F164="","",ROUNDDOWN(F164*$D$2+$H$2,0))</f>
        <v/>
      </c>
      <c r="I164" s="4">
        <f>IF(F164="","",ROUNDDOWN(F164*$F$2,0))</f>
        <v/>
      </c>
      <c r="J164" s="4">
        <f>IF(G164="","",G164+H164+I164)</f>
        <v/>
      </c>
      <c r="K164" s="4">
        <f>IF(J164="","",F164-E164-J164)</f>
        <v/>
      </c>
      <c r="L164" s="5">
        <f>IF(E164="","",K164/E164)</f>
        <v/>
      </c>
      <c r="M164" s="4">
        <f>IF(B164="","",((B164*C164)*(1+$B$2)+2*$H$2)/(B164*(1-$D$2-$F$2)))</f>
        <v/>
      </c>
    </row>
    <row r="165">
      <c r="A165" s="3" t="n"/>
      <c r="C165" s="4" t="n"/>
      <c r="D165" s="4" t="n"/>
      <c r="E165" s="4">
        <f>IF(B165="","",B165*C165)</f>
        <v/>
      </c>
      <c r="F165" s="4">
        <f>IF(B165="","",B165*D165)</f>
        <v/>
      </c>
      <c r="G165" s="4">
        <f>IF(E165="","",ROUNDDOWN(E165*$B$2+$H$2,0))</f>
        <v/>
      </c>
      <c r="H165" s="4">
        <f>IF(F165="","",ROUNDDOWN(F165*$D$2+$H$2,0))</f>
        <v/>
      </c>
      <c r="I165" s="4">
        <f>IF(F165="","",ROUNDDOWN(F165*$F$2,0))</f>
        <v/>
      </c>
      <c r="J165" s="4">
        <f>IF(G165="","",G165+H165+I165)</f>
        <v/>
      </c>
      <c r="K165" s="4">
        <f>IF(J165="","",F165-E165-J165)</f>
        <v/>
      </c>
      <c r="L165" s="5">
        <f>IF(E165="","",K165/E165)</f>
        <v/>
      </c>
      <c r="M165" s="4">
        <f>IF(B165="","",((B165*C165)*(1+$B$2)+2*$H$2)/(B165*(1-$D$2-$F$2)))</f>
        <v/>
      </c>
    </row>
    <row r="166">
      <c r="A166" s="3" t="n"/>
      <c r="C166" s="4" t="n"/>
      <c r="D166" s="4" t="n"/>
      <c r="E166" s="4">
        <f>IF(B166="","",B166*C166)</f>
        <v/>
      </c>
      <c r="F166" s="4">
        <f>IF(B166="","",B166*D166)</f>
        <v/>
      </c>
      <c r="G166" s="4">
        <f>IF(E166="","",ROUNDDOWN(E166*$B$2+$H$2,0))</f>
        <v/>
      </c>
      <c r="H166" s="4">
        <f>IF(F166="","",ROUNDDOWN(F166*$D$2+$H$2,0))</f>
        <v/>
      </c>
      <c r="I166" s="4">
        <f>IF(F166="","",ROUNDDOWN(F166*$F$2,0))</f>
        <v/>
      </c>
      <c r="J166" s="4">
        <f>IF(G166="","",G166+H166+I166)</f>
        <v/>
      </c>
      <c r="K166" s="4">
        <f>IF(J166="","",F166-E166-J166)</f>
        <v/>
      </c>
      <c r="L166" s="5">
        <f>IF(E166="","",K166/E166)</f>
        <v/>
      </c>
      <c r="M166" s="4">
        <f>IF(B166="","",((B166*C166)*(1+$B$2)+2*$H$2)/(B166*(1-$D$2-$F$2)))</f>
        <v/>
      </c>
    </row>
    <row r="167">
      <c r="A167" s="3" t="n"/>
      <c r="C167" s="4" t="n"/>
      <c r="D167" s="4" t="n"/>
      <c r="E167" s="4">
        <f>IF(B167="","",B167*C167)</f>
        <v/>
      </c>
      <c r="F167" s="4">
        <f>IF(B167="","",B167*D167)</f>
        <v/>
      </c>
      <c r="G167" s="4">
        <f>IF(E167="","",ROUNDDOWN(E167*$B$2+$H$2,0))</f>
        <v/>
      </c>
      <c r="H167" s="4">
        <f>IF(F167="","",ROUNDDOWN(F167*$D$2+$H$2,0))</f>
        <v/>
      </c>
      <c r="I167" s="4">
        <f>IF(F167="","",ROUNDDOWN(F167*$F$2,0))</f>
        <v/>
      </c>
      <c r="J167" s="4">
        <f>IF(G167="","",G167+H167+I167)</f>
        <v/>
      </c>
      <c r="K167" s="4">
        <f>IF(J167="","",F167-E167-J167)</f>
        <v/>
      </c>
      <c r="L167" s="5">
        <f>IF(E167="","",K167/E167)</f>
        <v/>
      </c>
      <c r="M167" s="4">
        <f>IF(B167="","",((B167*C167)*(1+$B$2)+2*$H$2)/(B167*(1-$D$2-$F$2)))</f>
        <v/>
      </c>
    </row>
    <row r="168">
      <c r="A168" s="3" t="n"/>
      <c r="C168" s="4" t="n"/>
      <c r="D168" s="4" t="n"/>
      <c r="E168" s="4">
        <f>IF(B168="","",B168*C168)</f>
        <v/>
      </c>
      <c r="F168" s="4">
        <f>IF(B168="","",B168*D168)</f>
        <v/>
      </c>
      <c r="G168" s="4">
        <f>IF(E168="","",ROUNDDOWN(E168*$B$2+$H$2,0))</f>
        <v/>
      </c>
      <c r="H168" s="4">
        <f>IF(F168="","",ROUNDDOWN(F168*$D$2+$H$2,0))</f>
        <v/>
      </c>
      <c r="I168" s="4">
        <f>IF(F168="","",ROUNDDOWN(F168*$F$2,0))</f>
        <v/>
      </c>
      <c r="J168" s="4">
        <f>IF(G168="","",G168+H168+I168)</f>
        <v/>
      </c>
      <c r="K168" s="4">
        <f>IF(J168="","",F168-E168-J168)</f>
        <v/>
      </c>
      <c r="L168" s="5">
        <f>IF(E168="","",K168/E168)</f>
        <v/>
      </c>
      <c r="M168" s="4">
        <f>IF(B168="","",((B168*C168)*(1+$B$2)+2*$H$2)/(B168*(1-$D$2-$F$2)))</f>
        <v/>
      </c>
    </row>
    <row r="169">
      <c r="A169" s="3" t="n"/>
      <c r="C169" s="4" t="n"/>
      <c r="D169" s="4" t="n"/>
      <c r="E169" s="4">
        <f>IF(B169="","",B169*C169)</f>
        <v/>
      </c>
      <c r="F169" s="4">
        <f>IF(B169="","",B169*D169)</f>
        <v/>
      </c>
      <c r="G169" s="4">
        <f>IF(E169="","",ROUNDDOWN(E169*$B$2+$H$2,0))</f>
        <v/>
      </c>
      <c r="H169" s="4">
        <f>IF(F169="","",ROUNDDOWN(F169*$D$2+$H$2,0))</f>
        <v/>
      </c>
      <c r="I169" s="4">
        <f>IF(F169="","",ROUNDDOWN(F169*$F$2,0))</f>
        <v/>
      </c>
      <c r="J169" s="4">
        <f>IF(G169="","",G169+H169+I169)</f>
        <v/>
      </c>
      <c r="K169" s="4">
        <f>IF(J169="","",F169-E169-J169)</f>
        <v/>
      </c>
      <c r="L169" s="5">
        <f>IF(E169="","",K169/E169)</f>
        <v/>
      </c>
      <c r="M169" s="4">
        <f>IF(B169="","",((B169*C169)*(1+$B$2)+2*$H$2)/(B169*(1-$D$2-$F$2)))</f>
        <v/>
      </c>
    </row>
    <row r="170">
      <c r="A170" s="3" t="n"/>
      <c r="C170" s="4" t="n"/>
      <c r="D170" s="4" t="n"/>
      <c r="E170" s="4">
        <f>IF(B170="","",B170*C170)</f>
        <v/>
      </c>
      <c r="F170" s="4">
        <f>IF(B170="","",B170*D170)</f>
        <v/>
      </c>
      <c r="G170" s="4">
        <f>IF(E170="","",ROUNDDOWN(E170*$B$2+$H$2,0))</f>
        <v/>
      </c>
      <c r="H170" s="4">
        <f>IF(F170="","",ROUNDDOWN(F170*$D$2+$H$2,0))</f>
        <v/>
      </c>
      <c r="I170" s="4">
        <f>IF(F170="","",ROUNDDOWN(F170*$F$2,0))</f>
        <v/>
      </c>
      <c r="J170" s="4">
        <f>IF(G170="","",G170+H170+I170)</f>
        <v/>
      </c>
      <c r="K170" s="4">
        <f>IF(J170="","",F170-E170-J170)</f>
        <v/>
      </c>
      <c r="L170" s="5">
        <f>IF(E170="","",K170/E170)</f>
        <v/>
      </c>
      <c r="M170" s="4">
        <f>IF(B170="","",((B170*C170)*(1+$B$2)+2*$H$2)/(B170*(1-$D$2-$F$2)))</f>
        <v/>
      </c>
    </row>
    <row r="171">
      <c r="A171" s="3" t="n"/>
      <c r="C171" s="4" t="n"/>
      <c r="D171" s="4" t="n"/>
      <c r="E171" s="4">
        <f>IF(B171="","",B171*C171)</f>
        <v/>
      </c>
      <c r="F171" s="4">
        <f>IF(B171="","",B171*D171)</f>
        <v/>
      </c>
      <c r="G171" s="4">
        <f>IF(E171="","",ROUNDDOWN(E171*$B$2+$H$2,0))</f>
        <v/>
      </c>
      <c r="H171" s="4">
        <f>IF(F171="","",ROUNDDOWN(F171*$D$2+$H$2,0))</f>
        <v/>
      </c>
      <c r="I171" s="4">
        <f>IF(F171="","",ROUNDDOWN(F171*$F$2,0))</f>
        <v/>
      </c>
      <c r="J171" s="4">
        <f>IF(G171="","",G171+H171+I171)</f>
        <v/>
      </c>
      <c r="K171" s="4">
        <f>IF(J171="","",F171-E171-J171)</f>
        <v/>
      </c>
      <c r="L171" s="5">
        <f>IF(E171="","",K171/E171)</f>
        <v/>
      </c>
      <c r="M171" s="4">
        <f>IF(B171="","",((B171*C171)*(1+$B$2)+2*$H$2)/(B171*(1-$D$2-$F$2)))</f>
        <v/>
      </c>
    </row>
    <row r="172">
      <c r="A172" s="3" t="n"/>
      <c r="C172" s="4" t="n"/>
      <c r="D172" s="4" t="n"/>
      <c r="E172" s="4">
        <f>IF(B172="","",B172*C172)</f>
        <v/>
      </c>
      <c r="F172" s="4">
        <f>IF(B172="","",B172*D172)</f>
        <v/>
      </c>
      <c r="G172" s="4">
        <f>IF(E172="","",ROUNDDOWN(E172*$B$2+$H$2,0))</f>
        <v/>
      </c>
      <c r="H172" s="4">
        <f>IF(F172="","",ROUNDDOWN(F172*$D$2+$H$2,0))</f>
        <v/>
      </c>
      <c r="I172" s="4">
        <f>IF(F172="","",ROUNDDOWN(F172*$F$2,0))</f>
        <v/>
      </c>
      <c r="J172" s="4">
        <f>IF(G172="","",G172+H172+I172)</f>
        <v/>
      </c>
      <c r="K172" s="4">
        <f>IF(J172="","",F172-E172-J172)</f>
        <v/>
      </c>
      <c r="L172" s="5">
        <f>IF(E172="","",K172/E172)</f>
        <v/>
      </c>
      <c r="M172" s="4">
        <f>IF(B172="","",((B172*C172)*(1+$B$2)+2*$H$2)/(B172*(1-$D$2-$F$2)))</f>
        <v/>
      </c>
    </row>
    <row r="173">
      <c r="A173" s="3" t="n"/>
      <c r="C173" s="4" t="n"/>
      <c r="D173" s="4" t="n"/>
      <c r="E173" s="4">
        <f>IF(B173="","",B173*C173)</f>
        <v/>
      </c>
      <c r="F173" s="4">
        <f>IF(B173="","",B173*D173)</f>
        <v/>
      </c>
      <c r="G173" s="4">
        <f>IF(E173="","",ROUNDDOWN(E173*$B$2+$H$2,0))</f>
        <v/>
      </c>
      <c r="H173" s="4">
        <f>IF(F173="","",ROUNDDOWN(F173*$D$2+$H$2,0))</f>
        <v/>
      </c>
      <c r="I173" s="4">
        <f>IF(F173="","",ROUNDDOWN(F173*$F$2,0))</f>
        <v/>
      </c>
      <c r="J173" s="4">
        <f>IF(G173="","",G173+H173+I173)</f>
        <v/>
      </c>
      <c r="K173" s="4">
        <f>IF(J173="","",F173-E173-J173)</f>
        <v/>
      </c>
      <c r="L173" s="5">
        <f>IF(E173="","",K173/E173)</f>
        <v/>
      </c>
      <c r="M173" s="4">
        <f>IF(B173="","",((B173*C173)*(1+$B$2)+2*$H$2)/(B173*(1-$D$2-$F$2)))</f>
        <v/>
      </c>
    </row>
    <row r="174">
      <c r="A174" s="3" t="n"/>
      <c r="C174" s="4" t="n"/>
      <c r="D174" s="4" t="n"/>
      <c r="E174" s="4">
        <f>IF(B174="","",B174*C174)</f>
        <v/>
      </c>
      <c r="F174" s="4">
        <f>IF(B174="","",B174*D174)</f>
        <v/>
      </c>
      <c r="G174" s="4">
        <f>IF(E174="","",ROUNDDOWN(E174*$B$2+$H$2,0))</f>
        <v/>
      </c>
      <c r="H174" s="4">
        <f>IF(F174="","",ROUNDDOWN(F174*$D$2+$H$2,0))</f>
        <v/>
      </c>
      <c r="I174" s="4">
        <f>IF(F174="","",ROUNDDOWN(F174*$F$2,0))</f>
        <v/>
      </c>
      <c r="J174" s="4">
        <f>IF(G174="","",G174+H174+I174)</f>
        <v/>
      </c>
      <c r="K174" s="4">
        <f>IF(J174="","",F174-E174-J174)</f>
        <v/>
      </c>
      <c r="L174" s="5">
        <f>IF(E174="","",K174/E174)</f>
        <v/>
      </c>
      <c r="M174" s="4">
        <f>IF(B174="","",((B174*C174)*(1+$B$2)+2*$H$2)/(B174*(1-$D$2-$F$2)))</f>
        <v/>
      </c>
    </row>
    <row r="175">
      <c r="A175" s="3" t="n"/>
      <c r="C175" s="4" t="n"/>
      <c r="D175" s="4" t="n"/>
      <c r="E175" s="4">
        <f>IF(B175="","",B175*C175)</f>
        <v/>
      </c>
      <c r="F175" s="4">
        <f>IF(B175="","",B175*D175)</f>
        <v/>
      </c>
      <c r="G175" s="4">
        <f>IF(E175="","",ROUNDDOWN(E175*$B$2+$H$2,0))</f>
        <v/>
      </c>
      <c r="H175" s="4">
        <f>IF(F175="","",ROUNDDOWN(F175*$D$2+$H$2,0))</f>
        <v/>
      </c>
      <c r="I175" s="4">
        <f>IF(F175="","",ROUNDDOWN(F175*$F$2,0))</f>
        <v/>
      </c>
      <c r="J175" s="4">
        <f>IF(G175="","",G175+H175+I175)</f>
        <v/>
      </c>
      <c r="K175" s="4">
        <f>IF(J175="","",F175-E175-J175)</f>
        <v/>
      </c>
      <c r="L175" s="5">
        <f>IF(E175="","",K175/E175)</f>
        <v/>
      </c>
      <c r="M175" s="4">
        <f>IF(B175="","",((B175*C175)*(1+$B$2)+2*$H$2)/(B175*(1-$D$2-$F$2)))</f>
        <v/>
      </c>
    </row>
    <row r="176">
      <c r="A176" s="3" t="n"/>
      <c r="C176" s="4" t="n"/>
      <c r="D176" s="4" t="n"/>
      <c r="E176" s="4">
        <f>IF(B176="","",B176*C176)</f>
        <v/>
      </c>
      <c r="F176" s="4">
        <f>IF(B176="","",B176*D176)</f>
        <v/>
      </c>
      <c r="G176" s="4">
        <f>IF(E176="","",ROUNDDOWN(E176*$B$2+$H$2,0))</f>
        <v/>
      </c>
      <c r="H176" s="4">
        <f>IF(F176="","",ROUNDDOWN(F176*$D$2+$H$2,0))</f>
        <v/>
      </c>
      <c r="I176" s="4">
        <f>IF(F176="","",ROUNDDOWN(F176*$F$2,0))</f>
        <v/>
      </c>
      <c r="J176" s="4">
        <f>IF(G176="","",G176+H176+I176)</f>
        <v/>
      </c>
      <c r="K176" s="4">
        <f>IF(J176="","",F176-E176-J176)</f>
        <v/>
      </c>
      <c r="L176" s="5">
        <f>IF(E176="","",K176/E176)</f>
        <v/>
      </c>
      <c r="M176" s="4">
        <f>IF(B176="","",((B176*C176)*(1+$B$2)+2*$H$2)/(B176*(1-$D$2-$F$2)))</f>
        <v/>
      </c>
    </row>
    <row r="177">
      <c r="A177" s="3" t="n"/>
      <c r="C177" s="4" t="n"/>
      <c r="D177" s="4" t="n"/>
      <c r="E177" s="4">
        <f>IF(B177="","",B177*C177)</f>
        <v/>
      </c>
      <c r="F177" s="4">
        <f>IF(B177="","",B177*D177)</f>
        <v/>
      </c>
      <c r="G177" s="4">
        <f>IF(E177="","",ROUNDDOWN(E177*$B$2+$H$2,0))</f>
        <v/>
      </c>
      <c r="H177" s="4">
        <f>IF(F177="","",ROUNDDOWN(F177*$D$2+$H$2,0))</f>
        <v/>
      </c>
      <c r="I177" s="4">
        <f>IF(F177="","",ROUNDDOWN(F177*$F$2,0))</f>
        <v/>
      </c>
      <c r="J177" s="4">
        <f>IF(G177="","",G177+H177+I177)</f>
        <v/>
      </c>
      <c r="K177" s="4">
        <f>IF(J177="","",F177-E177-J177)</f>
        <v/>
      </c>
      <c r="L177" s="5">
        <f>IF(E177="","",K177/E177)</f>
        <v/>
      </c>
      <c r="M177" s="4">
        <f>IF(B177="","",((B177*C177)*(1+$B$2)+2*$H$2)/(B177*(1-$D$2-$F$2)))</f>
        <v/>
      </c>
    </row>
    <row r="178">
      <c r="A178" s="3" t="n"/>
      <c r="C178" s="4" t="n"/>
      <c r="D178" s="4" t="n"/>
      <c r="E178" s="4">
        <f>IF(B178="","",B178*C178)</f>
        <v/>
      </c>
      <c r="F178" s="4">
        <f>IF(B178="","",B178*D178)</f>
        <v/>
      </c>
      <c r="G178" s="4">
        <f>IF(E178="","",ROUNDDOWN(E178*$B$2+$H$2,0))</f>
        <v/>
      </c>
      <c r="H178" s="4">
        <f>IF(F178="","",ROUNDDOWN(F178*$D$2+$H$2,0))</f>
        <v/>
      </c>
      <c r="I178" s="4">
        <f>IF(F178="","",ROUNDDOWN(F178*$F$2,0))</f>
        <v/>
      </c>
      <c r="J178" s="4">
        <f>IF(G178="","",G178+H178+I178)</f>
        <v/>
      </c>
      <c r="K178" s="4">
        <f>IF(J178="","",F178-E178-J178)</f>
        <v/>
      </c>
      <c r="L178" s="5">
        <f>IF(E178="","",K178/E178)</f>
        <v/>
      </c>
      <c r="M178" s="4">
        <f>IF(B178="","",((B178*C178)*(1+$B$2)+2*$H$2)/(B178*(1-$D$2-$F$2)))</f>
        <v/>
      </c>
    </row>
    <row r="179">
      <c r="A179" s="3" t="n"/>
      <c r="C179" s="4" t="n"/>
      <c r="D179" s="4" t="n"/>
      <c r="E179" s="4">
        <f>IF(B179="","",B179*C179)</f>
        <v/>
      </c>
      <c r="F179" s="4">
        <f>IF(B179="","",B179*D179)</f>
        <v/>
      </c>
      <c r="G179" s="4">
        <f>IF(E179="","",ROUNDDOWN(E179*$B$2+$H$2,0))</f>
        <v/>
      </c>
      <c r="H179" s="4">
        <f>IF(F179="","",ROUNDDOWN(F179*$D$2+$H$2,0))</f>
        <v/>
      </c>
      <c r="I179" s="4">
        <f>IF(F179="","",ROUNDDOWN(F179*$F$2,0))</f>
        <v/>
      </c>
      <c r="J179" s="4">
        <f>IF(G179="","",G179+H179+I179)</f>
        <v/>
      </c>
      <c r="K179" s="4">
        <f>IF(J179="","",F179-E179-J179)</f>
        <v/>
      </c>
      <c r="L179" s="5">
        <f>IF(E179="","",K179/E179)</f>
        <v/>
      </c>
      <c r="M179" s="4">
        <f>IF(B179="","",((B179*C179)*(1+$B$2)+2*$H$2)/(B179*(1-$D$2-$F$2)))</f>
        <v/>
      </c>
    </row>
    <row r="180">
      <c r="A180" s="3" t="n"/>
      <c r="C180" s="4" t="n"/>
      <c r="D180" s="4" t="n"/>
      <c r="E180" s="4">
        <f>IF(B180="","",B180*C180)</f>
        <v/>
      </c>
      <c r="F180" s="4">
        <f>IF(B180="","",B180*D180)</f>
        <v/>
      </c>
      <c r="G180" s="4">
        <f>IF(E180="","",ROUNDDOWN(E180*$B$2+$H$2,0))</f>
        <v/>
      </c>
      <c r="H180" s="4">
        <f>IF(F180="","",ROUNDDOWN(F180*$D$2+$H$2,0))</f>
        <v/>
      </c>
      <c r="I180" s="4">
        <f>IF(F180="","",ROUNDDOWN(F180*$F$2,0))</f>
        <v/>
      </c>
      <c r="J180" s="4">
        <f>IF(G180="","",G180+H180+I180)</f>
        <v/>
      </c>
      <c r="K180" s="4">
        <f>IF(J180="","",F180-E180-J180)</f>
        <v/>
      </c>
      <c r="L180" s="5">
        <f>IF(E180="","",K180/E180)</f>
        <v/>
      </c>
      <c r="M180" s="4">
        <f>IF(B180="","",((B180*C180)*(1+$B$2)+2*$H$2)/(B180*(1-$D$2-$F$2)))</f>
        <v/>
      </c>
    </row>
    <row r="181">
      <c r="A181" s="3" t="n"/>
      <c r="C181" s="4" t="n"/>
      <c r="D181" s="4" t="n"/>
      <c r="E181" s="4">
        <f>IF(B181="","",B181*C181)</f>
        <v/>
      </c>
      <c r="F181" s="4">
        <f>IF(B181="","",B181*D181)</f>
        <v/>
      </c>
      <c r="G181" s="4">
        <f>IF(E181="","",ROUNDDOWN(E181*$B$2+$H$2,0))</f>
        <v/>
      </c>
      <c r="H181" s="4">
        <f>IF(F181="","",ROUNDDOWN(F181*$D$2+$H$2,0))</f>
        <v/>
      </c>
      <c r="I181" s="4">
        <f>IF(F181="","",ROUNDDOWN(F181*$F$2,0))</f>
        <v/>
      </c>
      <c r="J181" s="4">
        <f>IF(G181="","",G181+H181+I181)</f>
        <v/>
      </c>
      <c r="K181" s="4">
        <f>IF(J181="","",F181-E181-J181)</f>
        <v/>
      </c>
      <c r="L181" s="5">
        <f>IF(E181="","",K181/E181)</f>
        <v/>
      </c>
      <c r="M181" s="4">
        <f>IF(B181="","",((B181*C181)*(1+$B$2)+2*$H$2)/(B181*(1-$D$2-$F$2)))</f>
        <v/>
      </c>
    </row>
    <row r="182">
      <c r="A182" s="3" t="n"/>
      <c r="C182" s="4" t="n"/>
      <c r="D182" s="4" t="n"/>
      <c r="E182" s="4">
        <f>IF(B182="","",B182*C182)</f>
        <v/>
      </c>
      <c r="F182" s="4">
        <f>IF(B182="","",B182*D182)</f>
        <v/>
      </c>
      <c r="G182" s="4">
        <f>IF(E182="","",ROUNDDOWN(E182*$B$2+$H$2,0))</f>
        <v/>
      </c>
      <c r="H182" s="4">
        <f>IF(F182="","",ROUNDDOWN(F182*$D$2+$H$2,0))</f>
        <v/>
      </c>
      <c r="I182" s="4">
        <f>IF(F182="","",ROUNDDOWN(F182*$F$2,0))</f>
        <v/>
      </c>
      <c r="J182" s="4">
        <f>IF(G182="","",G182+H182+I182)</f>
        <v/>
      </c>
      <c r="K182" s="4">
        <f>IF(J182="","",F182-E182-J182)</f>
        <v/>
      </c>
      <c r="L182" s="5">
        <f>IF(E182="","",K182/E182)</f>
        <v/>
      </c>
      <c r="M182" s="4">
        <f>IF(B182="","",((B182*C182)*(1+$B$2)+2*$H$2)/(B182*(1-$D$2-$F$2)))</f>
        <v/>
      </c>
    </row>
    <row r="183">
      <c r="A183" s="3" t="n"/>
      <c r="C183" s="4" t="n"/>
      <c r="D183" s="4" t="n"/>
      <c r="E183" s="4">
        <f>IF(B183="","",B183*C183)</f>
        <v/>
      </c>
      <c r="F183" s="4">
        <f>IF(B183="","",B183*D183)</f>
        <v/>
      </c>
      <c r="G183" s="4">
        <f>IF(E183="","",ROUNDDOWN(E183*$B$2+$H$2,0))</f>
        <v/>
      </c>
      <c r="H183" s="4">
        <f>IF(F183="","",ROUNDDOWN(F183*$D$2+$H$2,0))</f>
        <v/>
      </c>
      <c r="I183" s="4">
        <f>IF(F183="","",ROUNDDOWN(F183*$F$2,0))</f>
        <v/>
      </c>
      <c r="J183" s="4">
        <f>IF(G183="","",G183+H183+I183)</f>
        <v/>
      </c>
      <c r="K183" s="4">
        <f>IF(J183="","",F183-E183-J183)</f>
        <v/>
      </c>
      <c r="L183" s="5">
        <f>IF(E183="","",K183/E183)</f>
        <v/>
      </c>
      <c r="M183" s="4">
        <f>IF(B183="","",((B183*C183)*(1+$B$2)+2*$H$2)/(B183*(1-$D$2-$F$2)))</f>
        <v/>
      </c>
    </row>
    <row r="184">
      <c r="A184" s="3" t="n"/>
      <c r="C184" s="4" t="n"/>
      <c r="D184" s="4" t="n"/>
      <c r="E184" s="4">
        <f>IF(B184="","",B184*C184)</f>
        <v/>
      </c>
      <c r="F184" s="4">
        <f>IF(B184="","",B184*D184)</f>
        <v/>
      </c>
      <c r="G184" s="4">
        <f>IF(E184="","",ROUNDDOWN(E184*$B$2+$H$2,0))</f>
        <v/>
      </c>
      <c r="H184" s="4">
        <f>IF(F184="","",ROUNDDOWN(F184*$D$2+$H$2,0))</f>
        <v/>
      </c>
      <c r="I184" s="4">
        <f>IF(F184="","",ROUNDDOWN(F184*$F$2,0))</f>
        <v/>
      </c>
      <c r="J184" s="4">
        <f>IF(G184="","",G184+H184+I184)</f>
        <v/>
      </c>
      <c r="K184" s="4">
        <f>IF(J184="","",F184-E184-J184)</f>
        <v/>
      </c>
      <c r="L184" s="5">
        <f>IF(E184="","",K184/E184)</f>
        <v/>
      </c>
      <c r="M184" s="4">
        <f>IF(B184="","",((B184*C184)*(1+$B$2)+2*$H$2)/(B184*(1-$D$2-$F$2)))</f>
        <v/>
      </c>
    </row>
    <row r="185">
      <c r="A185" s="3" t="n"/>
      <c r="C185" s="4" t="n"/>
      <c r="D185" s="4" t="n"/>
      <c r="E185" s="4">
        <f>IF(B185="","",B185*C185)</f>
        <v/>
      </c>
      <c r="F185" s="4">
        <f>IF(B185="","",B185*D185)</f>
        <v/>
      </c>
      <c r="G185" s="4">
        <f>IF(E185="","",ROUNDDOWN(E185*$B$2+$H$2,0))</f>
        <v/>
      </c>
      <c r="H185" s="4">
        <f>IF(F185="","",ROUNDDOWN(F185*$D$2+$H$2,0))</f>
        <v/>
      </c>
      <c r="I185" s="4">
        <f>IF(F185="","",ROUNDDOWN(F185*$F$2,0))</f>
        <v/>
      </c>
      <c r="J185" s="4">
        <f>IF(G185="","",G185+H185+I185)</f>
        <v/>
      </c>
      <c r="K185" s="4">
        <f>IF(J185="","",F185-E185-J185)</f>
        <v/>
      </c>
      <c r="L185" s="5">
        <f>IF(E185="","",K185/E185)</f>
        <v/>
      </c>
      <c r="M185" s="4">
        <f>IF(B185="","",((B185*C185)*(1+$B$2)+2*$H$2)/(B185*(1-$D$2-$F$2)))</f>
        <v/>
      </c>
    </row>
    <row r="186">
      <c r="A186" s="3" t="n"/>
      <c r="C186" s="4" t="n"/>
      <c r="D186" s="4" t="n"/>
      <c r="E186" s="4">
        <f>IF(B186="","",B186*C186)</f>
        <v/>
      </c>
      <c r="F186" s="4">
        <f>IF(B186="","",B186*D186)</f>
        <v/>
      </c>
      <c r="G186" s="4">
        <f>IF(E186="","",ROUNDDOWN(E186*$B$2+$H$2,0))</f>
        <v/>
      </c>
      <c r="H186" s="4">
        <f>IF(F186="","",ROUNDDOWN(F186*$D$2+$H$2,0))</f>
        <v/>
      </c>
      <c r="I186" s="4">
        <f>IF(F186="","",ROUNDDOWN(F186*$F$2,0))</f>
        <v/>
      </c>
      <c r="J186" s="4">
        <f>IF(G186="","",G186+H186+I186)</f>
        <v/>
      </c>
      <c r="K186" s="4">
        <f>IF(J186="","",F186-E186-J186)</f>
        <v/>
      </c>
      <c r="L186" s="5">
        <f>IF(E186="","",K186/E186)</f>
        <v/>
      </c>
      <c r="M186" s="4">
        <f>IF(B186="","",((B186*C186)*(1+$B$2)+2*$H$2)/(B186*(1-$D$2-$F$2)))</f>
        <v/>
      </c>
    </row>
    <row r="187">
      <c r="A187" s="3" t="n"/>
      <c r="C187" s="4" t="n"/>
      <c r="D187" s="4" t="n"/>
      <c r="E187" s="4">
        <f>IF(B187="","",B187*C187)</f>
        <v/>
      </c>
      <c r="F187" s="4">
        <f>IF(B187="","",B187*D187)</f>
        <v/>
      </c>
      <c r="G187" s="4">
        <f>IF(E187="","",ROUNDDOWN(E187*$B$2+$H$2,0))</f>
        <v/>
      </c>
      <c r="H187" s="4">
        <f>IF(F187="","",ROUNDDOWN(F187*$D$2+$H$2,0))</f>
        <v/>
      </c>
      <c r="I187" s="4">
        <f>IF(F187="","",ROUNDDOWN(F187*$F$2,0))</f>
        <v/>
      </c>
      <c r="J187" s="4">
        <f>IF(G187="","",G187+H187+I187)</f>
        <v/>
      </c>
      <c r="K187" s="4">
        <f>IF(J187="","",F187-E187-J187)</f>
        <v/>
      </c>
      <c r="L187" s="5">
        <f>IF(E187="","",K187/E187)</f>
        <v/>
      </c>
      <c r="M187" s="4">
        <f>IF(B187="","",((B187*C187)*(1+$B$2)+2*$H$2)/(B187*(1-$D$2-$F$2)))</f>
        <v/>
      </c>
    </row>
    <row r="188">
      <c r="A188" s="3" t="n"/>
      <c r="C188" s="4" t="n"/>
      <c r="D188" s="4" t="n"/>
      <c r="E188" s="4">
        <f>IF(B188="","",B188*C188)</f>
        <v/>
      </c>
      <c r="F188" s="4">
        <f>IF(B188="","",B188*D188)</f>
        <v/>
      </c>
      <c r="G188" s="4">
        <f>IF(E188="","",ROUNDDOWN(E188*$B$2+$H$2,0))</f>
        <v/>
      </c>
      <c r="H188" s="4">
        <f>IF(F188="","",ROUNDDOWN(F188*$D$2+$H$2,0))</f>
        <v/>
      </c>
      <c r="I188" s="4">
        <f>IF(F188="","",ROUNDDOWN(F188*$F$2,0))</f>
        <v/>
      </c>
      <c r="J188" s="4">
        <f>IF(G188="","",G188+H188+I188)</f>
        <v/>
      </c>
      <c r="K188" s="4">
        <f>IF(J188="","",F188-E188-J188)</f>
        <v/>
      </c>
      <c r="L188" s="5">
        <f>IF(E188="","",K188/E188)</f>
        <v/>
      </c>
      <c r="M188" s="4">
        <f>IF(B188="","",((B188*C188)*(1+$B$2)+2*$H$2)/(B188*(1-$D$2-$F$2)))</f>
        <v/>
      </c>
    </row>
    <row r="189">
      <c r="A189" s="3" t="n"/>
      <c r="C189" s="4" t="n"/>
      <c r="D189" s="4" t="n"/>
      <c r="E189" s="4">
        <f>IF(B189="","",B189*C189)</f>
        <v/>
      </c>
      <c r="F189" s="4">
        <f>IF(B189="","",B189*D189)</f>
        <v/>
      </c>
      <c r="G189" s="4">
        <f>IF(E189="","",ROUNDDOWN(E189*$B$2+$H$2,0))</f>
        <v/>
      </c>
      <c r="H189" s="4">
        <f>IF(F189="","",ROUNDDOWN(F189*$D$2+$H$2,0))</f>
        <v/>
      </c>
      <c r="I189" s="4">
        <f>IF(F189="","",ROUNDDOWN(F189*$F$2,0))</f>
        <v/>
      </c>
      <c r="J189" s="4">
        <f>IF(G189="","",G189+H189+I189)</f>
        <v/>
      </c>
      <c r="K189" s="4">
        <f>IF(J189="","",F189-E189-J189)</f>
        <v/>
      </c>
      <c r="L189" s="5">
        <f>IF(E189="","",K189/E189)</f>
        <v/>
      </c>
      <c r="M189" s="4">
        <f>IF(B189="","",((B189*C189)*(1+$B$2)+2*$H$2)/(B189*(1-$D$2-$F$2)))</f>
        <v/>
      </c>
    </row>
    <row r="190">
      <c r="A190" s="3" t="n"/>
      <c r="C190" s="4" t="n"/>
      <c r="D190" s="4" t="n"/>
      <c r="E190" s="4">
        <f>IF(B190="","",B190*C190)</f>
        <v/>
      </c>
      <c r="F190" s="4">
        <f>IF(B190="","",B190*D190)</f>
        <v/>
      </c>
      <c r="G190" s="4">
        <f>IF(E190="","",ROUNDDOWN(E190*$B$2+$H$2,0))</f>
        <v/>
      </c>
      <c r="H190" s="4">
        <f>IF(F190="","",ROUNDDOWN(F190*$D$2+$H$2,0))</f>
        <v/>
      </c>
      <c r="I190" s="4">
        <f>IF(F190="","",ROUNDDOWN(F190*$F$2,0))</f>
        <v/>
      </c>
      <c r="J190" s="4">
        <f>IF(G190="","",G190+H190+I190)</f>
        <v/>
      </c>
      <c r="K190" s="4">
        <f>IF(J190="","",F190-E190-J190)</f>
        <v/>
      </c>
      <c r="L190" s="5">
        <f>IF(E190="","",K190/E190)</f>
        <v/>
      </c>
      <c r="M190" s="4">
        <f>IF(B190="","",((B190*C190)*(1+$B$2)+2*$H$2)/(B190*(1-$D$2-$F$2)))</f>
        <v/>
      </c>
    </row>
    <row r="191">
      <c r="A191" s="3" t="n"/>
      <c r="C191" s="4" t="n"/>
      <c r="D191" s="4" t="n"/>
      <c r="E191" s="4">
        <f>IF(B191="","",B191*C191)</f>
        <v/>
      </c>
      <c r="F191" s="4">
        <f>IF(B191="","",B191*D191)</f>
        <v/>
      </c>
      <c r="G191" s="4">
        <f>IF(E191="","",ROUNDDOWN(E191*$B$2+$H$2,0))</f>
        <v/>
      </c>
      <c r="H191" s="4">
        <f>IF(F191="","",ROUNDDOWN(F191*$D$2+$H$2,0))</f>
        <v/>
      </c>
      <c r="I191" s="4">
        <f>IF(F191="","",ROUNDDOWN(F191*$F$2,0))</f>
        <v/>
      </c>
      <c r="J191" s="4">
        <f>IF(G191="","",G191+H191+I191)</f>
        <v/>
      </c>
      <c r="K191" s="4">
        <f>IF(J191="","",F191-E191-J191)</f>
        <v/>
      </c>
      <c r="L191" s="5">
        <f>IF(E191="","",K191/E191)</f>
        <v/>
      </c>
      <c r="M191" s="4">
        <f>IF(B191="","",((B191*C191)*(1+$B$2)+2*$H$2)/(B191*(1-$D$2-$F$2)))</f>
        <v/>
      </c>
    </row>
    <row r="192">
      <c r="A192" s="3" t="n"/>
      <c r="C192" s="4" t="n"/>
      <c r="D192" s="4" t="n"/>
      <c r="E192" s="4">
        <f>IF(B192="","",B192*C192)</f>
        <v/>
      </c>
      <c r="F192" s="4">
        <f>IF(B192="","",B192*D192)</f>
        <v/>
      </c>
      <c r="G192" s="4">
        <f>IF(E192="","",ROUNDDOWN(E192*$B$2+$H$2,0))</f>
        <v/>
      </c>
      <c r="H192" s="4">
        <f>IF(F192="","",ROUNDDOWN(F192*$D$2+$H$2,0))</f>
        <v/>
      </c>
      <c r="I192" s="4">
        <f>IF(F192="","",ROUNDDOWN(F192*$F$2,0))</f>
        <v/>
      </c>
      <c r="J192" s="4">
        <f>IF(G192="","",G192+H192+I192)</f>
        <v/>
      </c>
      <c r="K192" s="4">
        <f>IF(J192="","",F192-E192-J192)</f>
        <v/>
      </c>
      <c r="L192" s="5">
        <f>IF(E192="","",K192/E192)</f>
        <v/>
      </c>
      <c r="M192" s="4">
        <f>IF(B192="","",((B192*C192)*(1+$B$2)+2*$H$2)/(B192*(1-$D$2-$F$2)))</f>
        <v/>
      </c>
    </row>
    <row r="193">
      <c r="A193" s="3" t="n"/>
      <c r="C193" s="4" t="n"/>
      <c r="D193" s="4" t="n"/>
      <c r="E193" s="4">
        <f>IF(B193="","",B193*C193)</f>
        <v/>
      </c>
      <c r="F193" s="4">
        <f>IF(B193="","",B193*D193)</f>
        <v/>
      </c>
      <c r="G193" s="4">
        <f>IF(E193="","",ROUNDDOWN(E193*$B$2+$H$2,0))</f>
        <v/>
      </c>
      <c r="H193" s="4">
        <f>IF(F193="","",ROUNDDOWN(F193*$D$2+$H$2,0))</f>
        <v/>
      </c>
      <c r="I193" s="4">
        <f>IF(F193="","",ROUNDDOWN(F193*$F$2,0))</f>
        <v/>
      </c>
      <c r="J193" s="4">
        <f>IF(G193="","",G193+H193+I193)</f>
        <v/>
      </c>
      <c r="K193" s="4">
        <f>IF(J193="","",F193-E193-J193)</f>
        <v/>
      </c>
      <c r="L193" s="5">
        <f>IF(E193="","",K193/E193)</f>
        <v/>
      </c>
      <c r="M193" s="4">
        <f>IF(B193="","",((B193*C193)*(1+$B$2)+2*$H$2)/(B193*(1-$D$2-$F$2)))</f>
        <v/>
      </c>
    </row>
    <row r="194">
      <c r="A194" s="3" t="n"/>
      <c r="C194" s="4" t="n"/>
      <c r="D194" s="4" t="n"/>
      <c r="E194" s="4">
        <f>IF(B194="","",B194*C194)</f>
        <v/>
      </c>
      <c r="F194" s="4">
        <f>IF(B194="","",B194*D194)</f>
        <v/>
      </c>
      <c r="G194" s="4">
        <f>IF(E194="","",ROUNDDOWN(E194*$B$2+$H$2,0))</f>
        <v/>
      </c>
      <c r="H194" s="4">
        <f>IF(F194="","",ROUNDDOWN(F194*$D$2+$H$2,0))</f>
        <v/>
      </c>
      <c r="I194" s="4">
        <f>IF(F194="","",ROUNDDOWN(F194*$F$2,0))</f>
        <v/>
      </c>
      <c r="J194" s="4">
        <f>IF(G194="","",G194+H194+I194)</f>
        <v/>
      </c>
      <c r="K194" s="4">
        <f>IF(J194="","",F194-E194-J194)</f>
        <v/>
      </c>
      <c r="L194" s="5">
        <f>IF(E194="","",K194/E194)</f>
        <v/>
      </c>
      <c r="M194" s="4">
        <f>IF(B194="","",((B194*C194)*(1+$B$2)+2*$H$2)/(B194*(1-$D$2-$F$2)))</f>
        <v/>
      </c>
    </row>
    <row r="195">
      <c r="A195" s="3" t="n"/>
      <c r="C195" s="4" t="n"/>
      <c r="D195" s="4" t="n"/>
      <c r="E195" s="4">
        <f>IF(B195="","",B195*C195)</f>
        <v/>
      </c>
      <c r="F195" s="4">
        <f>IF(B195="","",B195*D195)</f>
        <v/>
      </c>
      <c r="G195" s="4">
        <f>IF(E195="","",ROUNDDOWN(E195*$B$2+$H$2,0))</f>
        <v/>
      </c>
      <c r="H195" s="4">
        <f>IF(F195="","",ROUNDDOWN(F195*$D$2+$H$2,0))</f>
        <v/>
      </c>
      <c r="I195" s="4">
        <f>IF(F195="","",ROUNDDOWN(F195*$F$2,0))</f>
        <v/>
      </c>
      <c r="J195" s="4">
        <f>IF(G195="","",G195+H195+I195)</f>
        <v/>
      </c>
      <c r="K195" s="4">
        <f>IF(J195="","",F195-E195-J195)</f>
        <v/>
      </c>
      <c r="L195" s="5">
        <f>IF(E195="","",K195/E195)</f>
        <v/>
      </c>
      <c r="M195" s="4">
        <f>IF(B195="","",((B195*C195)*(1+$B$2)+2*$H$2)/(B195*(1-$D$2-$F$2)))</f>
        <v/>
      </c>
    </row>
    <row r="196">
      <c r="A196" s="3" t="n"/>
      <c r="C196" s="4" t="n"/>
      <c r="D196" s="4" t="n"/>
      <c r="E196" s="4">
        <f>IF(B196="","",B196*C196)</f>
        <v/>
      </c>
      <c r="F196" s="4">
        <f>IF(B196="","",B196*D196)</f>
        <v/>
      </c>
      <c r="G196" s="4">
        <f>IF(E196="","",ROUNDDOWN(E196*$B$2+$H$2,0))</f>
        <v/>
      </c>
      <c r="H196" s="4">
        <f>IF(F196="","",ROUNDDOWN(F196*$D$2+$H$2,0))</f>
        <v/>
      </c>
      <c r="I196" s="4">
        <f>IF(F196="","",ROUNDDOWN(F196*$F$2,0))</f>
        <v/>
      </c>
      <c r="J196" s="4">
        <f>IF(G196="","",G196+H196+I196)</f>
        <v/>
      </c>
      <c r="K196" s="4">
        <f>IF(J196="","",F196-E196-J196)</f>
        <v/>
      </c>
      <c r="L196" s="5">
        <f>IF(E196="","",K196/E196)</f>
        <v/>
      </c>
      <c r="M196" s="4">
        <f>IF(B196="","",((B196*C196)*(1+$B$2)+2*$H$2)/(B196*(1-$D$2-$F$2)))</f>
        <v/>
      </c>
    </row>
    <row r="197">
      <c r="A197" s="3" t="n"/>
      <c r="C197" s="4" t="n"/>
      <c r="D197" s="4" t="n"/>
      <c r="E197" s="4">
        <f>IF(B197="","",B197*C197)</f>
        <v/>
      </c>
      <c r="F197" s="4">
        <f>IF(B197="","",B197*D197)</f>
        <v/>
      </c>
      <c r="G197" s="4">
        <f>IF(E197="","",ROUNDDOWN(E197*$B$2+$H$2,0))</f>
        <v/>
      </c>
      <c r="H197" s="4">
        <f>IF(F197="","",ROUNDDOWN(F197*$D$2+$H$2,0))</f>
        <v/>
      </c>
      <c r="I197" s="4">
        <f>IF(F197="","",ROUNDDOWN(F197*$F$2,0))</f>
        <v/>
      </c>
      <c r="J197" s="4">
        <f>IF(G197="","",G197+H197+I197)</f>
        <v/>
      </c>
      <c r="K197" s="4">
        <f>IF(J197="","",F197-E197-J197)</f>
        <v/>
      </c>
      <c r="L197" s="5">
        <f>IF(E197="","",K197/E197)</f>
        <v/>
      </c>
      <c r="M197" s="4">
        <f>IF(B197="","",((B197*C197)*(1+$B$2)+2*$H$2)/(B197*(1-$D$2-$F$2)))</f>
        <v/>
      </c>
    </row>
    <row r="198">
      <c r="A198" s="3" t="n"/>
      <c r="C198" s="4" t="n"/>
      <c r="D198" s="4" t="n"/>
      <c r="E198" s="4">
        <f>IF(B198="","",B198*C198)</f>
        <v/>
      </c>
      <c r="F198" s="4">
        <f>IF(B198="","",B198*D198)</f>
        <v/>
      </c>
      <c r="G198" s="4">
        <f>IF(E198="","",ROUNDDOWN(E198*$B$2+$H$2,0))</f>
        <v/>
      </c>
      <c r="H198" s="4">
        <f>IF(F198="","",ROUNDDOWN(F198*$D$2+$H$2,0))</f>
        <v/>
      </c>
      <c r="I198" s="4">
        <f>IF(F198="","",ROUNDDOWN(F198*$F$2,0))</f>
        <v/>
      </c>
      <c r="J198" s="4">
        <f>IF(G198="","",G198+H198+I198)</f>
        <v/>
      </c>
      <c r="K198" s="4">
        <f>IF(J198="","",F198-E198-J198)</f>
        <v/>
      </c>
      <c r="L198" s="5">
        <f>IF(E198="","",K198/E198)</f>
        <v/>
      </c>
      <c r="M198" s="4">
        <f>IF(B198="","",((B198*C198)*(1+$B$2)+2*$H$2)/(B198*(1-$D$2-$F$2)))</f>
        <v/>
      </c>
    </row>
    <row r="199">
      <c r="A199" s="3" t="n"/>
      <c r="C199" s="4" t="n"/>
      <c r="D199" s="4" t="n"/>
      <c r="E199" s="4">
        <f>IF(B199="","",B199*C199)</f>
        <v/>
      </c>
      <c r="F199" s="4">
        <f>IF(B199="","",B199*D199)</f>
        <v/>
      </c>
      <c r="G199" s="4">
        <f>IF(E199="","",ROUNDDOWN(E199*$B$2+$H$2,0))</f>
        <v/>
      </c>
      <c r="H199" s="4">
        <f>IF(F199="","",ROUNDDOWN(F199*$D$2+$H$2,0))</f>
        <v/>
      </c>
      <c r="I199" s="4">
        <f>IF(F199="","",ROUNDDOWN(F199*$F$2,0))</f>
        <v/>
      </c>
      <c r="J199" s="4">
        <f>IF(G199="","",G199+H199+I199)</f>
        <v/>
      </c>
      <c r="K199" s="4">
        <f>IF(J199="","",F199-E199-J199)</f>
        <v/>
      </c>
      <c r="L199" s="5">
        <f>IF(E199="","",K199/E199)</f>
        <v/>
      </c>
      <c r="M199" s="4">
        <f>IF(B199="","",((B199*C199)*(1+$B$2)+2*$H$2)/(B199*(1-$D$2-$F$2)))</f>
        <v/>
      </c>
    </row>
    <row r="200">
      <c r="A200" s="3" t="n"/>
      <c r="C200" s="4" t="n"/>
      <c r="D200" s="4" t="n"/>
      <c r="E200" s="4">
        <f>IF(B200="","",B200*C200)</f>
        <v/>
      </c>
      <c r="F200" s="4">
        <f>IF(B200="","",B200*D200)</f>
        <v/>
      </c>
      <c r="G200" s="4">
        <f>IF(E200="","",ROUNDDOWN(E200*$B$2+$H$2,0))</f>
        <v/>
      </c>
      <c r="H200" s="4">
        <f>IF(F200="","",ROUNDDOWN(F200*$D$2+$H$2,0))</f>
        <v/>
      </c>
      <c r="I200" s="4">
        <f>IF(F200="","",ROUNDDOWN(F200*$F$2,0))</f>
        <v/>
      </c>
      <c r="J200" s="4">
        <f>IF(G200="","",G200+H200+I200)</f>
        <v/>
      </c>
      <c r="K200" s="4">
        <f>IF(J200="","",F200-E200-J200)</f>
        <v/>
      </c>
      <c r="L200" s="5">
        <f>IF(E200="","",K200/E200)</f>
        <v/>
      </c>
      <c r="M200" s="4">
        <f>IF(B200="","",((B200*C200)*(1+$B$2)+2*$H$2)/(B200*(1-$D$2-$F$2)))</f>
        <v/>
      </c>
    </row>
    <row r="201">
      <c r="A201" s="3" t="n"/>
      <c r="C201" s="4" t="n"/>
      <c r="D201" s="4" t="n"/>
      <c r="E201" s="4">
        <f>IF(B201="","",B201*C201)</f>
        <v/>
      </c>
      <c r="F201" s="4">
        <f>IF(B201="","",B201*D201)</f>
        <v/>
      </c>
      <c r="G201" s="4">
        <f>IF(E201="","",ROUNDDOWN(E201*$B$2+$H$2,0))</f>
        <v/>
      </c>
      <c r="H201" s="4">
        <f>IF(F201="","",ROUNDDOWN(F201*$D$2+$H$2,0))</f>
        <v/>
      </c>
      <c r="I201" s="4">
        <f>IF(F201="","",ROUNDDOWN(F201*$F$2,0))</f>
        <v/>
      </c>
      <c r="J201" s="4">
        <f>IF(G201="","",G201+H201+I201)</f>
        <v/>
      </c>
      <c r="K201" s="4">
        <f>IF(J201="","",F201-E201-J201)</f>
        <v/>
      </c>
      <c r="L201" s="5">
        <f>IF(E201="","",K201/E201)</f>
        <v/>
      </c>
      <c r="M201" s="4">
        <f>IF(B201="","",((B201*C201)*(1+$B$2)+2*$H$2)/(B201*(1-$D$2-$F$2)))</f>
        <v/>
      </c>
    </row>
    <row r="202">
      <c r="A202" s="3" t="n"/>
      <c r="C202" s="4" t="n"/>
      <c r="D202" s="4" t="n"/>
      <c r="E202" s="4">
        <f>IF(B202="","",B202*C202)</f>
        <v/>
      </c>
      <c r="F202" s="4">
        <f>IF(B202="","",B202*D202)</f>
        <v/>
      </c>
      <c r="G202" s="4">
        <f>IF(E202="","",ROUNDDOWN(E202*$B$2+$H$2,0))</f>
        <v/>
      </c>
      <c r="H202" s="4">
        <f>IF(F202="","",ROUNDDOWN(F202*$D$2+$H$2,0))</f>
        <v/>
      </c>
      <c r="I202" s="4">
        <f>IF(F202="","",ROUNDDOWN(F202*$F$2,0))</f>
        <v/>
      </c>
      <c r="J202" s="4">
        <f>IF(G202="","",G202+H202+I202)</f>
        <v/>
      </c>
      <c r="K202" s="4">
        <f>IF(J202="","",F202-E202-J202)</f>
        <v/>
      </c>
      <c r="L202" s="5">
        <f>IF(E202="","",K202/E202)</f>
        <v/>
      </c>
      <c r="M202" s="4">
        <f>IF(B202="","",((B202*C202)*(1+$B$2)+2*$H$2)/(B202*(1-$D$2-$F$2)))</f>
        <v/>
      </c>
    </row>
    <row r="203">
      <c r="A203" s="3" t="n"/>
      <c r="C203" s="4" t="n"/>
      <c r="D203" s="4" t="n"/>
      <c r="E203" s="4">
        <f>IF(B203="","",B203*C203)</f>
        <v/>
      </c>
      <c r="F203" s="4">
        <f>IF(B203="","",B203*D203)</f>
        <v/>
      </c>
      <c r="G203" s="4">
        <f>IF(E203="","",ROUNDDOWN(E203*$B$2+$H$2,0))</f>
        <v/>
      </c>
      <c r="H203" s="4">
        <f>IF(F203="","",ROUNDDOWN(F203*$D$2+$H$2,0))</f>
        <v/>
      </c>
      <c r="I203" s="4">
        <f>IF(F203="","",ROUNDDOWN(F203*$F$2,0))</f>
        <v/>
      </c>
      <c r="J203" s="4">
        <f>IF(G203="","",G203+H203+I203)</f>
        <v/>
      </c>
      <c r="K203" s="4">
        <f>IF(J203="","",F203-E203-J203)</f>
        <v/>
      </c>
      <c r="L203" s="5">
        <f>IF(E203="","",K203/E203)</f>
        <v/>
      </c>
      <c r="M203" s="4">
        <f>IF(B203="","",((B203*C203)*(1+$B$2)+2*$H$2)/(B203*(1-$D$2-$F$2)))</f>
        <v/>
      </c>
    </row>
    <row r="204">
      <c r="A204" s="3" t="n"/>
      <c r="C204" s="4" t="n"/>
      <c r="D204" s="4" t="n"/>
      <c r="E204" s="4">
        <f>IF(B204="","",B204*C204)</f>
        <v/>
      </c>
      <c r="F204" s="4">
        <f>IF(B204="","",B204*D204)</f>
        <v/>
      </c>
      <c r="G204" s="4">
        <f>IF(E204="","",ROUNDDOWN(E204*$B$2+$H$2,0))</f>
        <v/>
      </c>
      <c r="H204" s="4">
        <f>IF(F204="","",ROUNDDOWN(F204*$D$2+$H$2,0))</f>
        <v/>
      </c>
      <c r="I204" s="4">
        <f>IF(F204="","",ROUNDDOWN(F204*$F$2,0))</f>
        <v/>
      </c>
      <c r="J204" s="4">
        <f>IF(G204="","",G204+H204+I204)</f>
        <v/>
      </c>
      <c r="K204" s="4">
        <f>IF(J204="","",F204-E204-J204)</f>
        <v/>
      </c>
      <c r="L204" s="5">
        <f>IF(E204="","",K204/E204)</f>
        <v/>
      </c>
      <c r="M204" s="4">
        <f>IF(B204="","",((B204*C204)*(1+$B$2)+2*$H$2)/(B204*(1-$D$2-$F$2)))</f>
        <v/>
      </c>
    </row>
    <row r="205">
      <c r="A205" s="3" t="n"/>
      <c r="C205" s="4" t="n"/>
      <c r="D205" s="4" t="n"/>
      <c r="E205" s="4">
        <f>IF(B205="","",B205*C205)</f>
        <v/>
      </c>
      <c r="F205" s="4">
        <f>IF(B205="","",B205*D205)</f>
        <v/>
      </c>
      <c r="G205" s="4">
        <f>IF(E205="","",ROUNDDOWN(E205*$B$2+$H$2,0))</f>
        <v/>
      </c>
      <c r="H205" s="4">
        <f>IF(F205="","",ROUNDDOWN(F205*$D$2+$H$2,0))</f>
        <v/>
      </c>
      <c r="I205" s="4">
        <f>IF(F205="","",ROUNDDOWN(F205*$F$2,0))</f>
        <v/>
      </c>
      <c r="J205" s="4">
        <f>IF(G205="","",G205+H205+I205)</f>
        <v/>
      </c>
      <c r="K205" s="4">
        <f>IF(J205="","",F205-E205-J205)</f>
        <v/>
      </c>
      <c r="L205" s="5">
        <f>IF(E205="","",K205/E205)</f>
        <v/>
      </c>
      <c r="M205" s="4">
        <f>IF(B205="","",((B205*C205)*(1+$B$2)+2*$H$2)/(B205*(1-$D$2-$F$2)))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2" t="inlineStr">
        <is>
          <t>항목</t>
        </is>
      </c>
      <c r="B1" s="2" t="inlineStr">
        <is>
          <t>손익계산 시트 입력열</t>
        </is>
      </c>
      <c r="C1" s="2" t="inlineStr">
        <is>
          <t>설명</t>
        </is>
      </c>
    </row>
    <row r="2">
      <c r="A2" t="inlineStr">
        <is>
          <t>종목코드</t>
        </is>
      </c>
      <c r="B2" t="inlineStr">
        <is>
          <t>A열</t>
        </is>
      </c>
      <c r="C2" t="inlineStr">
        <is>
          <t>한국투자증권 API 기준 6자리 코드 사용 (예: 005930)</t>
        </is>
      </c>
    </row>
    <row r="3">
      <c r="A3" t="inlineStr">
        <is>
          <t>주문수량</t>
        </is>
      </c>
      <c r="B3" t="inlineStr">
        <is>
          <t>B열</t>
        </is>
      </c>
      <c r="C3" t="inlineStr">
        <is>
          <t>체결 수량 입력</t>
        </is>
      </c>
    </row>
    <row r="4">
      <c r="A4" t="inlineStr">
        <is>
          <t>매수체결가</t>
        </is>
      </c>
      <c r="B4" t="inlineStr">
        <is>
          <t>C열</t>
        </is>
      </c>
      <c r="C4" t="inlineStr">
        <is>
          <t>매수 체결 단가 입력</t>
        </is>
      </c>
    </row>
    <row r="5">
      <c r="A5" t="inlineStr">
        <is>
          <t>매도체결가</t>
        </is>
      </c>
      <c r="B5" t="inlineStr">
        <is>
          <t>D열</t>
        </is>
      </c>
      <c r="C5" t="inlineStr">
        <is>
          <t>매도 체결 단가 입력</t>
        </is>
      </c>
    </row>
    <row r="6">
      <c r="A6" t="inlineStr">
        <is>
          <t>매수수수료율</t>
        </is>
      </c>
      <c r="B6" t="inlineStr">
        <is>
          <t>손익계산!B2</t>
        </is>
      </c>
      <c r="C6" t="inlineStr">
        <is>
          <t>계좌/상품별 실제 수수료율로 수정</t>
        </is>
      </c>
    </row>
    <row r="7">
      <c r="A7" t="inlineStr">
        <is>
          <t>매도수수료율</t>
        </is>
      </c>
      <c r="B7" t="inlineStr">
        <is>
          <t>손익계산!D2</t>
        </is>
      </c>
      <c r="C7" t="inlineStr">
        <is>
          <t>계좌/상품별 실제 수수료율로 수정</t>
        </is>
      </c>
    </row>
    <row r="8">
      <c r="A8" t="inlineStr">
        <is>
          <t>매도세율</t>
        </is>
      </c>
      <c r="B8" t="inlineStr">
        <is>
          <t>손익계산!F2</t>
        </is>
      </c>
      <c r="C8" t="inlineStr">
        <is>
          <t>시장/상품별 실제 세율로 수정</t>
        </is>
      </c>
    </row>
    <row r="9">
      <c r="A9" t="inlineStr">
        <is>
          <t>편도정액수수료</t>
        </is>
      </c>
      <c r="B9" t="inlineStr">
        <is>
          <t>손익계산!H2</t>
        </is>
      </c>
      <c r="C9" t="inlineStr">
        <is>
          <t>건당 정액이 있으면 입력, 없으면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2026-03-05T01:14:19Z</dcterms:created>
  <dcterms:modified xsi:type="dcterms:W3CDTF">2026-03-05T01:14:19Z</dcterms:modified>
</cp:coreProperties>
</file>